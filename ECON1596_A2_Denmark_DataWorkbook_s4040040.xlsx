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drawings/drawing7.xml" ContentType="application/vnd.openxmlformats-officedocument.drawing+xml"/>
  <Override PartName="/xl/worksheets/sheet14.xml" ContentType="application/vnd.openxmlformats-officedocument.spreadsheetml.worksheet+xml"/>
  <Override PartName="/xl/drawings/drawing8.xml" ContentType="application/vnd.openxmlformats-officedocument.drawing+xml"/>
  <Override PartName="/xl/worksheets/sheet15.xml" ContentType="application/vnd.openxmlformats-officedocument.spreadsheetml.worksheet+xml"/>
  <Override PartName="/xl/drawings/drawing9.xml" ContentType="application/vnd.openxmlformats-officedocument.drawing+xml"/>
  <Override PartName="/xl/worksheets/sheet16.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README" sheetId="2" state="visible" r:id="rId2"/>
    <sheet name="02_MASTER" sheetId="3" state="visible" r:id="rId3"/>
    <sheet name="03_SOURCES" sheetId="4" state="visible" r:id="rId4"/>
    <sheet name="04_DEFINITIONS" sheetId="5" state="visible" r:id="rId5"/>
    <sheet name="05_CALC" sheetId="6" state="visible" r:id="rId6"/>
    <sheet name="F1_BRANCHES" sheetId="7" state="visible" r:id="rId7"/>
    <sheet name="F2_PAYMENTS" sheetId="8" state="visible" r:id="rId8"/>
    <sheet name="F3_ESALES" sheetId="9" state="visible" r:id="rId9"/>
    <sheet name="F4_EXCLUSION" sheetId="10" state="visible" r:id="rId10"/>
    <sheet name="F5_EU27" sheetId="11" state="visible" r:id="rId11"/>
    <sheet name="F6_ADOPT_BENEFIT" sheetId="12" state="visible" r:id="rId12"/>
    <sheet name="F7_QUALITY" sheetId="13" state="visible" r:id="rId13"/>
    <sheet name="F8_SMVDIGITAL" sheetId="14" state="visible" r:id="rId14"/>
    <sheet name="F9_CONSOLIDATION" sheetId="15" state="visible" r:id="rId15"/>
    <sheet name="F10_SKILLS" sheetId="16" state="visible" r:id="rId16"/>
    <sheet name="06_RETAIL_GAP" sheetId="17" state="visible" r:id="rId17"/>
    <sheet name="07_LIMITATIONS" sheetId="18" state="visible" r:id="rId18"/>
    <sheet name="08_AI_LOG" sheetId="19" state="visible" r:id="rId19"/>
    <sheet name="09_POLICY" sheetId="20" state="visible" r:id="rId20"/>
  </sheets>
  <definedNames>
    <definedName name="_xlnm._FilterDatabase" localSheetId="2" hidden="1">'02_MASTER'!$A$1:$L$114</definedName>
  </definedNames>
  <calcPr calcId="124519" fullCalcOnLoad="1"/>
</workbook>
</file>

<file path=xl/styles.xml><?xml version="1.0" encoding="utf-8"?>
<styleSheet xmlns="http://schemas.openxmlformats.org/spreadsheetml/2006/main">
  <numFmts count="6">
    <numFmt numFmtId="164" formatCode="_(#,##0_);\(#,##0\);_(&quot;–&quot;_);_(&quot;–&quot;_)"/>
    <numFmt numFmtId="165" formatCode="_(0.0%_);\(0.0%\);_(&quot;–&quot;_);_(&quot;–&quot;_)"/>
    <numFmt numFmtId="166" formatCode="_(#,##0.00_);\(#,##0.00\);_(&quot;–&quot;_);_(&quot;–&quot;_)"/>
    <numFmt numFmtId="167" formatCode="_(#,##0.0_);\(#,##0.0\);_(&quot;–&quot;_);_(&quot;–&quot;_)"/>
    <numFmt numFmtId="168" formatCode="_(#,##0.000_);\(#,##0.000\);_(&quot;–&quot;_);_(&quot;–&quot;_)"/>
    <numFmt numFmtId="169" formatCode="_(+#,##0.00_);_(-#,##0.00_);_(&quot;–&quot;_);_(&quot;–&quot;_)"/>
  </numFmts>
  <fonts count="9">
    <font>
      <name val="Calibri"/>
      <family val="2"/>
      <color theme="1"/>
      <sz val="11"/>
      <scheme val="minor"/>
    </font>
    <font>
      <name val="Calibri"/>
      <b val="1"/>
      <color rgb="FF1F3A5F"/>
      <sz val="18"/>
    </font>
    <font>
      <name val="Calibri"/>
      <color rgb="FF5A5A5A"/>
      <sz val="11"/>
    </font>
    <font>
      <name val="Calibri"/>
      <b val="1"/>
      <color rgb="FF1F3A5F"/>
      <sz val="11"/>
    </font>
    <font>
      <name val="Calibri"/>
      <color rgb="FF1A1A1A"/>
      <sz val="10"/>
    </font>
    <font>
      <name val="Consolas"/>
      <color rgb="FF1A1A1A"/>
      <sz val="9"/>
    </font>
    <font>
      <name val="Calibri"/>
      <b val="1"/>
      <color rgb="FF1F3A5F"/>
      <sz val="16"/>
    </font>
    <font>
      <name val="Calibri"/>
      <b val="1"/>
      <color rgb="FFFFFFFF"/>
      <sz val="10"/>
    </font>
    <font>
      <name val="Calibri"/>
      <color rgb="FF5A5A5A"/>
      <sz val="9"/>
    </font>
  </fonts>
  <fills count="8">
    <fill>
      <patternFill/>
    </fill>
    <fill>
      <patternFill patternType="gray125"/>
    </fill>
    <fill>
      <patternFill patternType="solid">
        <fgColor rgb="FF1F3A5F"/>
      </patternFill>
    </fill>
    <fill>
      <patternFill patternType="solid">
        <fgColor rgb="FFF2F2F2"/>
      </patternFill>
    </fill>
    <fill>
      <patternFill patternType="solid">
        <fgColor rgb="FFE8F0F6"/>
      </patternFill>
    </fill>
    <fill>
      <patternFill patternType="solid">
        <fgColor rgb="FFFDF2E0"/>
      </patternFill>
    </fill>
    <fill>
      <patternFill patternType="solid">
        <fgColor rgb="FFF7E4E4"/>
      </patternFill>
    </fill>
    <fill>
      <patternFill patternType="solid">
        <fgColor rgb="FFE7F2FF"/>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vertical="center" wrapText="1"/>
    </xf>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3" borderId="1" applyAlignment="1" pivotButton="0" quotePrefix="0" xfId="0">
      <alignment vertical="top"/>
    </xf>
    <xf numFmtId="0" fontId="5" fillId="3" borderId="1" applyAlignment="1" pivotButton="0" quotePrefix="0" xfId="0">
      <alignment vertical="top"/>
    </xf>
    <xf numFmtId="0" fontId="4" fillId="3" borderId="1" applyAlignment="1" pivotButton="0" quotePrefix="0" xfId="0">
      <alignment vertical="top" wrapText="1"/>
    </xf>
    <xf numFmtId="2" fontId="4" fillId="3" borderId="1" applyAlignment="1" pivotButton="0" quotePrefix="0" xfId="0">
      <alignment vertical="top"/>
    </xf>
    <xf numFmtId="3" fontId="4" fillId="3" borderId="1" applyAlignment="1" pivotButton="0" quotePrefix="0" xfId="0">
      <alignment vertical="top"/>
    </xf>
    <xf numFmtId="0" fontId="4" fillId="5" borderId="1" applyAlignment="1" pivotButton="0" quotePrefix="0" xfId="0">
      <alignment vertical="top"/>
    </xf>
    <xf numFmtId="0" fontId="5" fillId="5" borderId="1" applyAlignment="1" pivotButton="0" quotePrefix="0" xfId="0">
      <alignment vertical="top"/>
    </xf>
    <xf numFmtId="0" fontId="4" fillId="5" borderId="1" applyAlignment="1" pivotButton="0" quotePrefix="0" xfId="0">
      <alignment vertical="top" wrapText="1"/>
    </xf>
    <xf numFmtId="3" fontId="4" fillId="5" borderId="1" applyAlignment="1" pivotButton="0" quotePrefix="0" xfId="0">
      <alignment vertical="top"/>
    </xf>
    <xf numFmtId="2" fontId="4" fillId="5" borderId="1" applyAlignment="1" pivotButton="0" quotePrefix="0" xfId="0">
      <alignment vertical="top"/>
    </xf>
    <xf numFmtId="0" fontId="5" fillId="3" borderId="1" applyAlignment="1" pivotButton="0" quotePrefix="0" xfId="0">
      <alignment vertical="top" wrapText="1"/>
    </xf>
    <xf numFmtId="0" fontId="8" fillId="6" borderId="0" applyAlignment="1" pivotButton="0" quotePrefix="0" xfId="0">
      <alignment vertical="top" wrapText="1"/>
    </xf>
    <xf numFmtId="0" fontId="5" fillId="3" borderId="1" pivotButton="0" quotePrefix="0" xfId="0"/>
    <xf numFmtId="0" fontId="8" fillId="0" borderId="0" pivotButton="0" quotePrefix="0" xfId="0"/>
    <xf numFmtId="0" fontId="4" fillId="0" borderId="1" pivotButton="0" quotePrefix="0" xfId="0"/>
    <xf numFmtId="164" fontId="4" fillId="4" borderId="1" pivotButton="0" quotePrefix="0" xfId="0"/>
    <xf numFmtId="0" fontId="8" fillId="0" borderId="1" pivotButton="0" quotePrefix="0" xfId="0"/>
    <xf numFmtId="0" fontId="8" fillId="0" borderId="1" applyAlignment="1" pivotButton="0" quotePrefix="0" xfId="0">
      <alignment vertical="top" wrapText="1"/>
    </xf>
    <xf numFmtId="165" fontId="4" fillId="4" borderId="1" pivotButton="0" quotePrefix="0" xfId="0"/>
    <xf numFmtId="166" fontId="4" fillId="4" borderId="1" pivotButton="0" quotePrefix="0" xfId="0"/>
    <xf numFmtId="0" fontId="3" fillId="7" borderId="0" applyAlignment="1" pivotButton="0" quotePrefix="0" xfId="0">
      <alignment vertical="center"/>
    </xf>
    <xf numFmtId="0" fontId="8" fillId="0" borderId="0" applyAlignment="1" pivotButton="0" quotePrefix="0" xfId="0">
      <alignment vertical="top" wrapText="1"/>
    </xf>
    <xf numFmtId="167" fontId="4" fillId="4" borderId="1" pivotButton="0" quotePrefix="0" xfId="0"/>
    <xf numFmtId="167" fontId="4" fillId="5" borderId="1" pivotButton="0" quotePrefix="0" xfId="0"/>
    <xf numFmtId="166" fontId="0" fillId="4" borderId="1" pivotButton="0" quotePrefix="0" xfId="0"/>
    <xf numFmtId="0" fontId="5" fillId="0" borderId="1" pivotButton="0" quotePrefix="0" xfId="0"/>
    <xf numFmtId="168" fontId="4" fillId="4" borderId="1" pivotButton="0" quotePrefix="0" xfId="0"/>
    <xf numFmtId="169" fontId="4" fillId="4" borderId="1" pivotButton="0" quotePrefix="0" xfId="0"/>
    <xf numFmtId="0" fontId="8" fillId="5" borderId="1" applyAlignment="1" pivotButton="0" quotePrefix="0" xfId="0">
      <alignment vertical="top" wrapText="1"/>
    </xf>
    <xf numFmtId="0" fontId="0" fillId="0" borderId="1" pivotButton="0" quotePrefix="0" xfId="0"/>
    <xf numFmtId="0" fontId="8" fillId="6" borderId="1" pivotButton="0" quotePrefix="0" xfId="0"/>
    <xf numFmtId="165" fontId="4" fillId="4" borderId="0" pivotButton="0" quotePrefix="0" xfId="0"/>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harts/chart1.xml><?xml version="1.0" encoding="utf-8"?>
<chartSpace xmlns:a="http://schemas.openxmlformats.org/drawingml/2006/main" xmlns="http://schemas.openxmlformats.org/drawingml/2006/chart">
  <chart>
    <plotArea>
      <scatterChart>
        <ser>
          <idx val="0"/>
          <order val="0"/>
          <tx>
            <strRef>
              <f>'F1_BRANCHES'!B4</f>
            </strRef>
          </tx>
          <spPr>
            <a:ln w="22000">
              <a:solidFill>
                <a:srgbClr val="2E6DB4"/>
              </a:solidFill>
              <a:prstDash val="solid"/>
            </a:ln>
          </spPr>
          <marker>
            <symbol val="circle"/>
            <size val="7"/>
            <spPr>
              <a:solidFill>
                <a:srgbClr val="2E6DB4"/>
              </a:solidFill>
              <a:ln>
                <a:noFill/>
                <a:prstDash val="solid"/>
              </a:ln>
            </spPr>
          </marker>
          <xVal>
            <numRef>
              <f>'F1_BRANCHES'!$A$5:$A$10</f>
            </numRef>
          </xVal>
          <yVal>
            <numRef>
              <f>'F1_BRANCHES'!$B$5:$B$10</f>
            </numRef>
          </yVal>
        </ser>
        <axId val="10"/>
        <axId val="20"/>
      </scatterChart>
      <valAx>
        <axId val="10"/>
        <scaling>
          <orientation val="minMax"/>
          <max val="2026"/>
          <min val="2002"/>
        </scaling>
        <axPos val="l"/>
        <title>
          <tx>
            <rich>
              <a:bodyPr/>
              <a:p>
                <a:pPr>
                  <a:defRPr/>
                </a:pPr>
                <a:r>
                  <a:t>Year</a:t>
                </a:r>
              </a:p>
            </rich>
          </tx>
        </title>
        <majorTickMark val="none"/>
        <minorTickMark val="none"/>
        <spPr>
          <a:ln>
            <a:noFill/>
            <a:prstDash val="solid"/>
          </a:ln>
        </spPr>
        <crossAx val="20"/>
      </valAx>
      <valAx>
        <axId val="20"/>
        <scaling>
          <orientation val="minMax"/>
          <min val="0"/>
        </scaling>
        <axPos val="l"/>
        <title>
          <tx>
            <rich>
              <a:bodyPr/>
              <a:p>
                <a:pPr>
                  <a:defRPr/>
                </a:pPr>
                <a:r>
                  <a:t>Number of branches</a:t>
                </a:r>
              </a:p>
            </rich>
          </tx>
        </title>
        <majorTickMark val="none"/>
        <minorTickMark val="none"/>
        <spPr>
          <a:ln>
            <a:noFill/>
            <a:prstDash val="solid"/>
          </a:ln>
        </spPr>
        <crossAx val="10"/>
      </valAx>
    </plotArea>
    <plotVisOnly val="1"/>
    <dispBlanksAs val="gap"/>
  </chart>
</chartSpace>
</file>

<file path=xl/charts/chart2.xml><?xml version="1.0" encoding="utf-8"?>
<chartSpace xmlns:a="http://schemas.openxmlformats.org/drawingml/2006/main" xmlns="http://schemas.openxmlformats.org/drawingml/2006/chart">
  <chart>
    <plotArea>
      <scatterChart>
        <ser>
          <idx val="0"/>
          <order val="0"/>
          <tx>
            <strRef>
              <f>'F2_PAYMENTS'!B5</f>
            </strRef>
          </tx>
          <spPr>
            <a:ln w="22000">
              <a:solidFill>
                <a:srgbClr val="2E6DB4"/>
              </a:solidFill>
              <a:prstDash val="solid"/>
            </a:ln>
          </spPr>
          <marker>
            <symbol val="circle"/>
            <size val="7"/>
            <spPr>
              <a:solidFill>
                <a:srgbClr val="2E6DB4"/>
              </a:solidFill>
              <a:ln>
                <a:noFill/>
                <a:prstDash val="solid"/>
              </a:ln>
            </spPr>
          </marker>
          <xVal>
            <numRef>
              <f>'F2_PAYMENTS'!$A$6:$A$8</f>
            </numRef>
          </xVal>
          <yVal>
            <numRef>
              <f>'F2_PAYMENTS'!$B$6:$B$8</f>
            </numRef>
          </yVal>
        </ser>
        <axId val="10"/>
        <axId val="20"/>
      </scatterChart>
      <valAx>
        <axId val="10"/>
        <scaling>
          <orientation val="minMax"/>
          <max val="2026"/>
          <min val="2016"/>
        </scaling>
        <axPos val="l"/>
        <title>
          <tx>
            <rich>
              <a:bodyPr/>
              <a:p>
                <a:pPr>
                  <a:defRPr/>
                </a:pPr>
                <a:r>
                  <a:t>Year</a:t>
                </a:r>
              </a:p>
            </rich>
          </tx>
        </title>
        <majorTickMark val="none"/>
        <minorTickMark val="none"/>
        <spPr>
          <a:ln>
            <a:noFill/>
            <a:prstDash val="solid"/>
          </a:ln>
        </spPr>
        <crossAx val="20"/>
      </valAx>
      <valAx>
        <axId val="20"/>
        <scaling>
          <orientation val="minMax"/>
          <max val="25"/>
          <min val="0"/>
        </scaling>
        <axPos val="l"/>
        <title>
          <tx>
            <rich>
              <a:bodyPr/>
              <a:p>
                <a:pPr>
                  <a:defRPr/>
                </a:pPr>
                <a:r>
                  <a:t>% of number of payments</a:t>
                </a:r>
              </a:p>
            </rich>
          </tx>
        </title>
        <majorTickMark val="none"/>
        <minorTickMark val="none"/>
        <spPr>
          <a:ln>
            <a:noFill/>
            <a:prstDash val="solid"/>
          </a:ln>
        </spPr>
        <crossAx val="10"/>
      </valAx>
    </plotArea>
    <plotVisOnly val="1"/>
    <dispBlanksAs val="gap"/>
  </chart>
</chartSpace>
</file>

<file path=xl/charts/chart3.xml><?xml version="1.0" encoding="utf-8"?>
<chartSpace xmlns:a="http://schemas.openxmlformats.org/drawingml/2006/main" xmlns="http://schemas.openxmlformats.org/drawingml/2006/chart">
  <chart>
    <plotArea>
      <barChart>
        <barDir val="bar"/>
        <grouping val="clustered"/>
        <ser>
          <idx val="0"/>
          <order val="0"/>
          <tx>
            <strRef>
              <f>'F2_PAYMENTS'!B11</f>
            </strRef>
          </tx>
          <spPr>
            <a:solidFill>
              <a:srgbClr val="A3A3A3"/>
            </a:solidFill>
            <a:ln>
              <a:noFill/>
              <a:prstDash val="solid"/>
            </a:ln>
          </spPr>
          <dPt>
            <idx val="0"/>
            <spPr>
              <a:solidFill>
                <a:srgbClr val="A3A3A3"/>
              </a:solidFill>
              <a:ln>
                <a:noFill/>
                <a:prstDash val="solid"/>
              </a:ln>
            </spPr>
          </dPt>
          <dPt>
            <idx val="1"/>
            <spPr>
              <a:solidFill>
                <a:srgbClr val="A3A3A3"/>
              </a:solidFill>
              <a:ln>
                <a:noFill/>
                <a:prstDash val="solid"/>
              </a:ln>
            </spPr>
          </dPt>
          <dPt>
            <idx val="2"/>
            <spPr>
              <a:solidFill>
                <a:srgbClr val="2E6DB4"/>
              </a:solidFill>
              <a:ln>
                <a:noFill/>
                <a:prstDash val="solid"/>
              </a:ln>
            </spPr>
          </dPt>
          <cat>
            <numRef>
              <f>'F2_PAYMENTS'!$A$12:$A$14</f>
            </numRef>
          </cat>
          <val>
            <numRef>
              <f>'F2_PAYMENTS'!$B$12:$B$14</f>
            </numRef>
          </val>
        </ser>
        <gapWidth val="80"/>
        <axId val="10"/>
        <axId val="100"/>
      </barChart>
      <catAx>
        <axId val="10"/>
        <scaling>
          <orientation val="minMax"/>
        </scaling>
        <axPos val="l"/>
        <title>
          <tx>
            <rich>
              <a:bodyPr/>
              <a:p>
                <a:pPr>
                  <a:defRPr/>
                </a:pPr>
                <a:r>
                  <a:t>% of number of payments</a:t>
                </a:r>
              </a:p>
            </rich>
          </tx>
        </title>
        <majorTickMark val="none"/>
        <minorTickMark val="none"/>
        <spPr>
          <a:ln>
            <a:noFill/>
            <a:prstDash val="solid"/>
          </a:ln>
        </spPr>
        <crossAx val="100"/>
        <lblOffset val="100"/>
      </catAx>
      <valAx>
        <axId val="100"/>
        <scaling>
          <orientation val="minMax"/>
        </scaling>
        <axPos val="l"/>
        <majorTickMark val="none"/>
        <minorTickMark val="none"/>
        <spPr>
          <a:ln>
            <a:noFill/>
            <a:prstDash val="solid"/>
          </a:ln>
        </spPr>
        <crossAx val="10"/>
      </valAx>
    </plotArea>
    <plotVisOnly val="1"/>
    <dispBlanksAs val="gap"/>
  </chart>
</chartSpace>
</file>

<file path=xl/charts/chart4.xml><?xml version="1.0" encoding="utf-8"?>
<chartSpace xmlns:a="http://schemas.openxmlformats.org/drawingml/2006/main" xmlns="http://schemas.openxmlformats.org/drawingml/2006/chart">
  <chart>
    <plotArea>
      <barChart>
        <barDir val="col"/>
        <grouping val="clustered"/>
        <ser>
          <idx val="0"/>
          <order val="0"/>
          <tx>
            <strRef>
              <f>'F3_ESALES'!B4</f>
            </strRef>
          </tx>
          <spPr>
            <a:solidFill>
              <a:srgbClr val="2E6DB4"/>
            </a:solidFill>
            <a:ln>
              <a:noFill/>
              <a:prstDash val="solid"/>
            </a:ln>
          </spPr>
          <cat>
            <numRef>
              <f>'F3_ESALES'!$A$5:$A$6</f>
            </numRef>
          </cat>
          <val>
            <numRef>
              <f>'F3_ESALES'!$B$5:$B$6</f>
            </numRef>
          </val>
        </ser>
        <ser>
          <idx val="1"/>
          <order val="1"/>
          <tx>
            <strRef>
              <f>'F3_ESALES'!C4</f>
            </strRef>
          </tx>
          <spPr>
            <a:solidFill>
              <a:srgbClr val="A3A3A3"/>
            </a:solidFill>
            <a:ln>
              <a:noFill/>
              <a:prstDash val="solid"/>
            </a:ln>
          </spPr>
          <cat>
            <numRef>
              <f>'F3_ESALES'!$A$5:$A$6</f>
            </numRef>
          </cat>
          <val>
            <numRef>
              <f>'F3_ESALES'!$C$5:$C$6</f>
            </numRef>
          </val>
        </ser>
        <gapWidth val="80"/>
        <overlap val="-27"/>
        <axId val="10"/>
        <axId val="100"/>
      </barChart>
      <catAx>
        <axId val="10"/>
        <scaling>
          <orientation val="minMax"/>
        </scaling>
        <axPos val="l"/>
        <title>
          <tx>
            <rich>
              <a:bodyPr/>
              <a:p>
                <a:pPr>
                  <a:defRPr/>
                </a:pPr>
                <a:r>
                  <a:t>Year</a:t>
                </a:r>
              </a:p>
            </rich>
          </tx>
        </title>
        <majorTickMark val="none"/>
        <minorTickMark val="none"/>
        <spPr>
          <a:ln>
            <a:noFill/>
            <a:prstDash val="solid"/>
          </a:ln>
        </spPr>
        <crossAx val="100"/>
        <lblOffset val="100"/>
      </catAx>
      <valAx>
        <axId val="100"/>
        <scaling>
          <orientation val="minMax"/>
        </scaling>
        <axPos val="l"/>
        <title>
          <tx>
            <rich>
              <a:bodyPr/>
              <a:p>
                <a:pPr>
                  <a:defRPr/>
                </a:pPr>
                <a:r>
                  <a:t>% of turnover</a:t>
                </a:r>
              </a:p>
            </rich>
          </tx>
        </title>
        <majorTickMark val="none"/>
        <minorTickMark val="none"/>
        <spPr>
          <a:ln>
            <a:noFill/>
            <a:prstDash val="solid"/>
          </a:ln>
        </spPr>
        <crossAx val="10"/>
      </valAx>
    </plotArea>
    <legend>
      <legendPos val="b"/>
      <overlay val="0"/>
    </legend>
    <plotVisOnly val="1"/>
    <dispBlanksAs val="gap"/>
  </chart>
</chartSpace>
</file>

<file path=xl/charts/chart5.xml><?xml version="1.0" encoding="utf-8"?>
<chartSpace xmlns:a="http://schemas.openxmlformats.org/drawingml/2006/main" xmlns="http://schemas.openxmlformats.org/drawingml/2006/chart">
  <chart>
    <plotArea>
      <barChart>
        <barDir val="bar"/>
        <grouping val="clustered"/>
        <ser>
          <idx val="0"/>
          <order val="0"/>
          <tx>
            <strRef>
              <f>'F4_EXCLUSION'!B4</f>
            </strRef>
          </tx>
          <spPr>
            <a:solidFill>
              <a:srgbClr val="2E6DB4"/>
            </a:solidFill>
            <a:ln>
              <a:noFill/>
              <a:prstDash val="solid"/>
            </a:ln>
          </spPr>
          <cat>
            <numRef>
              <f>'F4_EXCLUSION'!$A$5:$A$10</f>
            </numRef>
          </cat>
          <val>
            <numRef>
              <f>'F4_EXCLUSION'!$B$5:$B$10</f>
            </numRef>
          </val>
        </ser>
        <gapWidth val="80"/>
        <axId val="10"/>
        <axId val="100"/>
      </barChart>
      <catAx>
        <axId val="10"/>
        <scaling>
          <orientation val="minMax"/>
        </scaling>
        <axPos val="l"/>
        <title>
          <tx>
            <rich>
              <a:bodyPr/>
              <a:p>
                <a:pPr>
                  <a:defRPr/>
                </a:pPr>
                <a:r>
                  <a:t>% of population</a:t>
                </a:r>
              </a:p>
            </rich>
          </tx>
        </title>
        <majorTickMark val="none"/>
        <minorTickMark val="none"/>
        <spPr>
          <a:ln>
            <a:noFill/>
            <a:prstDash val="solid"/>
          </a:ln>
        </spPr>
        <crossAx val="100"/>
        <lblOffset val="100"/>
      </catAx>
      <valAx>
        <axId val="100"/>
        <scaling>
          <orientation val="minMax"/>
        </scaling>
        <axPos val="l"/>
        <majorTickMark val="none"/>
        <minorTickMark val="none"/>
        <spPr>
          <a:ln>
            <a:noFill/>
            <a:prstDash val="solid"/>
          </a:ln>
        </spPr>
        <crossAx val="10"/>
      </valAx>
    </plotArea>
    <plotVisOnly val="1"/>
    <dispBlanksAs val="gap"/>
  </chart>
</chartSpace>
</file>

<file path=xl/charts/chart6.xml><?xml version="1.0" encoding="utf-8"?>
<chartSpace xmlns:a="http://schemas.openxmlformats.org/drawingml/2006/main" xmlns="http://schemas.openxmlformats.org/drawingml/2006/chart">
  <chart>
    <plotArea>
      <barChart>
        <barDir val="bar"/>
        <grouping val="clustered"/>
        <ser>
          <idx val="0"/>
          <order val="0"/>
          <tx>
            <strRef>
              <f>'F5_EU27'!B4</f>
            </strRef>
          </tx>
          <spPr>
            <a:solidFill>
              <a:srgbClr val="A3A3A3"/>
            </a:solidFill>
            <a:ln>
              <a:noFill/>
              <a:prstDash val="solid"/>
            </a:ln>
          </spPr>
          <dPt>
            <idx val="0"/>
            <spPr>
              <a:solidFill>
                <a:srgbClr val="A3A3A3"/>
              </a:solidFill>
              <a:ln>
                <a:noFill/>
                <a:prstDash val="solid"/>
              </a:ln>
            </spPr>
          </dPt>
          <dPt>
            <idx val="1"/>
            <spPr>
              <a:solidFill>
                <a:srgbClr val="A3A3A3"/>
              </a:solidFill>
              <a:ln>
                <a:noFill/>
                <a:prstDash val="solid"/>
              </a:ln>
            </spPr>
          </dPt>
          <dPt>
            <idx val="2"/>
            <spPr>
              <a:solidFill>
                <a:srgbClr val="2E6DB4"/>
              </a:solidFill>
              <a:ln>
                <a:noFill/>
                <a:prstDash val="solid"/>
              </a:ln>
            </spPr>
          </dPt>
          <dPt>
            <idx val="3"/>
            <spPr>
              <a:solidFill>
                <a:srgbClr val="A3A3A3"/>
              </a:solidFill>
              <a:ln>
                <a:noFill/>
                <a:prstDash val="solid"/>
              </a:ln>
            </spPr>
          </dPt>
          <dPt>
            <idx val="4"/>
            <spPr>
              <a:solidFill>
                <a:srgbClr val="A3A3A3"/>
              </a:solidFill>
              <a:ln>
                <a:noFill/>
                <a:prstDash val="solid"/>
              </a:ln>
            </spPr>
          </dPt>
          <dPt>
            <idx val="5"/>
            <spPr>
              <a:solidFill>
                <a:srgbClr val="A3A3A3"/>
              </a:solidFill>
              <a:ln>
                <a:noFill/>
                <a:prstDash val="solid"/>
              </a:ln>
            </spPr>
          </dPt>
          <dPt>
            <idx val="6"/>
            <spPr>
              <a:solidFill>
                <a:srgbClr val="A3A3A3"/>
              </a:solidFill>
              <a:ln>
                <a:noFill/>
                <a:prstDash val="solid"/>
              </a:ln>
            </spPr>
          </dPt>
          <dPt>
            <idx val="7"/>
            <spPr>
              <a:solidFill>
                <a:srgbClr val="A3A3A3"/>
              </a:solidFill>
              <a:ln>
                <a:noFill/>
                <a:prstDash val="solid"/>
              </a:ln>
            </spPr>
          </dPt>
          <dPt>
            <idx val="8"/>
            <spPr>
              <a:solidFill>
                <a:srgbClr val="A3A3A3"/>
              </a:solidFill>
              <a:ln>
                <a:noFill/>
                <a:prstDash val="solid"/>
              </a:ln>
            </spPr>
          </dPt>
          <dPt>
            <idx val="9"/>
            <spPr>
              <a:solidFill>
                <a:srgbClr val="A3A3A3"/>
              </a:solidFill>
              <a:ln>
                <a:noFill/>
                <a:prstDash val="solid"/>
              </a:ln>
            </spPr>
          </dPt>
          <dPt>
            <idx val="10"/>
            <spPr>
              <a:solidFill>
                <a:srgbClr val="A3A3A3"/>
              </a:solidFill>
              <a:ln>
                <a:noFill/>
                <a:prstDash val="solid"/>
              </a:ln>
            </spPr>
          </dPt>
          <dPt>
            <idx val="11"/>
            <spPr>
              <a:solidFill>
                <a:srgbClr val="A3A3A3"/>
              </a:solidFill>
              <a:ln>
                <a:noFill/>
                <a:prstDash val="solid"/>
              </a:ln>
            </spPr>
          </dPt>
          <dPt>
            <idx val="12"/>
            <spPr>
              <a:solidFill>
                <a:srgbClr val="A3A3A3"/>
              </a:solidFill>
              <a:ln>
                <a:noFill/>
                <a:prstDash val="solid"/>
              </a:ln>
            </spPr>
          </dPt>
          <dPt>
            <idx val="13"/>
            <spPr>
              <a:solidFill>
                <a:srgbClr val="1F3A5F"/>
              </a:solidFill>
              <a:ln>
                <a:noFill/>
                <a:prstDash val="solid"/>
              </a:ln>
            </spPr>
          </dPt>
          <dPt>
            <idx val="14"/>
            <spPr>
              <a:solidFill>
                <a:srgbClr val="A3A3A3"/>
              </a:solidFill>
              <a:ln>
                <a:noFill/>
                <a:prstDash val="solid"/>
              </a:ln>
            </spPr>
          </dPt>
          <dPt>
            <idx val="15"/>
            <spPr>
              <a:solidFill>
                <a:srgbClr val="A3A3A3"/>
              </a:solidFill>
              <a:ln>
                <a:noFill/>
                <a:prstDash val="solid"/>
              </a:ln>
            </spPr>
          </dPt>
          <dPt>
            <idx val="16"/>
            <spPr>
              <a:solidFill>
                <a:srgbClr val="A3A3A3"/>
              </a:solidFill>
              <a:ln>
                <a:noFill/>
                <a:prstDash val="solid"/>
              </a:ln>
            </spPr>
          </dPt>
          <dPt>
            <idx val="17"/>
            <spPr>
              <a:solidFill>
                <a:srgbClr val="A3A3A3"/>
              </a:solidFill>
              <a:ln>
                <a:noFill/>
                <a:prstDash val="solid"/>
              </a:ln>
            </spPr>
          </dPt>
          <dPt>
            <idx val="18"/>
            <spPr>
              <a:solidFill>
                <a:srgbClr val="A3A3A3"/>
              </a:solidFill>
              <a:ln>
                <a:noFill/>
                <a:prstDash val="solid"/>
              </a:ln>
            </spPr>
          </dPt>
          <dPt>
            <idx val="19"/>
            <spPr>
              <a:solidFill>
                <a:srgbClr val="A3A3A3"/>
              </a:solidFill>
              <a:ln>
                <a:noFill/>
                <a:prstDash val="solid"/>
              </a:ln>
            </spPr>
          </dPt>
          <dPt>
            <idx val="20"/>
            <spPr>
              <a:solidFill>
                <a:srgbClr val="A3A3A3"/>
              </a:solidFill>
              <a:ln>
                <a:noFill/>
                <a:prstDash val="solid"/>
              </a:ln>
            </spPr>
          </dPt>
          <dPt>
            <idx val="21"/>
            <spPr>
              <a:solidFill>
                <a:srgbClr val="A3A3A3"/>
              </a:solidFill>
              <a:ln>
                <a:noFill/>
                <a:prstDash val="solid"/>
              </a:ln>
            </spPr>
          </dPt>
          <dPt>
            <idx val="22"/>
            <spPr>
              <a:solidFill>
                <a:srgbClr val="A3A3A3"/>
              </a:solidFill>
              <a:ln>
                <a:noFill/>
                <a:prstDash val="solid"/>
              </a:ln>
            </spPr>
          </dPt>
          <dPt>
            <idx val="23"/>
            <spPr>
              <a:solidFill>
                <a:srgbClr val="A3A3A3"/>
              </a:solidFill>
              <a:ln>
                <a:noFill/>
                <a:prstDash val="solid"/>
              </a:ln>
            </spPr>
          </dPt>
          <dPt>
            <idx val="24"/>
            <spPr>
              <a:solidFill>
                <a:srgbClr val="A3A3A3"/>
              </a:solidFill>
              <a:ln>
                <a:noFill/>
                <a:prstDash val="solid"/>
              </a:ln>
            </spPr>
          </dPt>
          <dPt>
            <idx val="25"/>
            <spPr>
              <a:solidFill>
                <a:srgbClr val="A3A3A3"/>
              </a:solidFill>
              <a:ln>
                <a:noFill/>
                <a:prstDash val="solid"/>
              </a:ln>
            </spPr>
          </dPt>
          <dPt>
            <idx val="26"/>
            <spPr>
              <a:solidFill>
                <a:srgbClr val="A3A3A3"/>
              </a:solidFill>
              <a:ln>
                <a:noFill/>
                <a:prstDash val="solid"/>
              </a:ln>
            </spPr>
          </dPt>
          <dPt>
            <idx val="27"/>
            <spPr>
              <a:solidFill>
                <a:srgbClr val="A3A3A3"/>
              </a:solidFill>
              <a:ln>
                <a:noFill/>
                <a:prstDash val="solid"/>
              </a:ln>
            </spPr>
          </dPt>
          <cat>
            <numRef>
              <f>'F5_EU27'!$A$5:$A$32</f>
            </numRef>
          </cat>
          <val>
            <numRef>
              <f>'F5_EU27'!$B$5:$B$32</f>
            </numRef>
          </val>
        </ser>
        <gapWidth val="80"/>
        <axId val="10"/>
        <axId val="100"/>
      </barChart>
      <catAx>
        <axId val="10"/>
        <scaling>
          <orientation val="minMax"/>
        </scaling>
        <axPos val="l"/>
        <title>
          <tx>
            <rich>
              <a:bodyPr/>
              <a:p>
                <a:pPr>
                  <a:defRPr/>
                </a:pPr>
                <a:r>
                  <a:t>% of internet users</a:t>
                </a:r>
              </a:p>
            </rich>
          </tx>
        </title>
        <majorTickMark val="none"/>
        <minorTickMark val="none"/>
        <spPr>
          <a:ln>
            <a:noFill/>
            <a:prstDash val="solid"/>
          </a:ln>
        </spPr>
        <crossAx val="100"/>
        <lblOffset val="100"/>
      </catAx>
      <valAx>
        <axId val="100"/>
        <scaling>
          <orientation val="minMax"/>
        </scaling>
        <axPos val="l"/>
        <majorTickMark val="none"/>
        <minorTickMark val="none"/>
        <spPr>
          <a:ln>
            <a:noFill/>
            <a:prstDash val="solid"/>
          </a:ln>
        </spPr>
        <crossAx val="10"/>
      </valAx>
    </plotArea>
    <plotVisOnly val="1"/>
    <dispBlanksAs val="gap"/>
  </chart>
</chartSpace>
</file>

<file path=xl/charts/chart7.xml><?xml version="1.0" encoding="utf-8"?>
<chartSpace xmlns:a="http://schemas.openxmlformats.org/drawingml/2006/main" xmlns="http://schemas.openxmlformats.org/drawingml/2006/chart">
  <chart>
    <plotArea>
      <scatterChart>
        <ser>
          <idx val="0"/>
          <order val="0"/>
          <tx>
            <strRef>
              <f>'F6_ADOPT_BENEFIT'!D4</f>
            </strRef>
          </tx>
          <spPr>
            <a:ln>
              <a:noFill/>
              <a:prstDash val="solid"/>
            </a:ln>
          </spPr>
          <marker>
            <symbol val="circle"/>
            <size val="9"/>
            <spPr>
              <a:solidFill>
                <a:srgbClr val="2E6DB4"/>
              </a:solidFill>
              <a:ln>
                <a:noFill/>
                <a:prstDash val="solid"/>
              </a:ln>
            </spPr>
          </marker>
          <trendline>
            <spPr>
              <a:ln w="16000">
                <a:solidFill>
                  <a:srgbClr val="1F3A5F"/>
                </a:solidFill>
                <a:prstDash val="solid"/>
              </a:ln>
            </spPr>
            <trendlineType val="linear"/>
            <dispRSqr val="1"/>
            <dispEq val="1"/>
          </trendline>
          <xVal>
            <numRef>
              <f>'F6_ADOPT_BENEFIT'!$C$5:$C$22</f>
            </numRef>
          </xVal>
          <yVal>
            <numRef>
              <f>'F6_ADOPT_BENEFIT'!$D$5:$D$22</f>
            </numRef>
          </yVal>
        </ser>
        <axId val="10"/>
        <axId val="20"/>
      </scatterChart>
      <valAx>
        <axId val="10"/>
        <scaling>
          <orientation val="minMax"/>
          <max val="100"/>
          <min val="50"/>
        </scaling>
        <axPos val="l"/>
        <title>
          <tx>
            <rich>
              <a:bodyPr/>
              <a:p>
                <a:pPr>
                  <a:defRPr/>
                </a:pPr>
                <a:r>
                  <a:t>Individuals who bought online (% of internet users)</a:t>
                </a:r>
              </a:p>
            </rich>
          </tx>
        </title>
        <majorTickMark val="none"/>
        <minorTickMark val="none"/>
        <spPr>
          <a:ln>
            <a:noFill/>
            <a:prstDash val="solid"/>
          </a:ln>
        </spPr>
        <crossAx val="20"/>
      </valAx>
      <valAx>
        <axId val="20"/>
        <scaling>
          <orientation val="minMax"/>
          <min val="0"/>
        </scaling>
        <axPos val="l"/>
        <title>
          <tx>
            <rich>
              <a:bodyPr/>
              <a:p>
                <a:pPr>
                  <a:defRPr/>
                </a:pPr>
                <a:r>
                  <a:t>E-sales as % of enterprise turnover</a:t>
                </a:r>
              </a:p>
            </rich>
          </tx>
        </title>
        <majorTickMark val="none"/>
        <minorTickMark val="none"/>
        <spPr>
          <a:ln>
            <a:noFill/>
            <a:prstDash val="solid"/>
          </a:ln>
        </spPr>
        <crossAx val="10"/>
      </valAx>
    </plotArea>
    <plotVisOnly val="1"/>
    <dispBlanksAs val="gap"/>
  </chart>
</chartSpace>
</file>

<file path=xl/charts/chart8.xml><?xml version="1.0" encoding="utf-8"?>
<chartSpace xmlns:a="http://schemas.openxmlformats.org/drawingml/2006/main" xmlns="http://schemas.openxmlformats.org/drawingml/2006/chart">
  <chart>
    <plotArea>
      <barChart>
        <barDir val="bar"/>
        <grouping val="clustered"/>
        <ser>
          <idx val="0"/>
          <order val="0"/>
          <tx>
            <strRef>
              <f>'F7_QUALITY'!B4</f>
            </strRef>
          </tx>
          <spPr>
            <a:solidFill>
              <a:srgbClr val="2E6DB4"/>
            </a:solidFill>
            <a:ln>
              <a:noFill/>
              <a:prstDash val="solid"/>
            </a:ln>
          </spPr>
          <cat>
            <numRef>
              <f>'F7_QUALITY'!$A$5:$A$8</f>
            </numRef>
          </cat>
          <val>
            <numRef>
              <f>'F7_QUALITY'!$B$5:$B$8</f>
            </numRef>
          </val>
        </ser>
        <ser>
          <idx val="1"/>
          <order val="1"/>
          <tx>
            <strRef>
              <f>'F7_QUALITY'!C4</f>
            </strRef>
          </tx>
          <spPr>
            <a:solidFill>
              <a:srgbClr val="A3A3A3"/>
            </a:solidFill>
            <a:ln>
              <a:noFill/>
              <a:prstDash val="solid"/>
            </a:ln>
          </spPr>
          <cat>
            <numRef>
              <f>'F7_QUALITY'!$A$5:$A$8</f>
            </numRef>
          </cat>
          <val>
            <numRef>
              <f>'F7_QUALITY'!$C$5:$C$8</f>
            </numRef>
          </val>
        </ser>
        <gapWidth val="80"/>
        <overlap val="-27"/>
        <axId val="10"/>
        <axId val="100"/>
      </barChart>
      <catAx>
        <axId val="10"/>
        <scaling>
          <orientation val="minMax"/>
        </scaling>
        <axPos val="l"/>
        <title>
          <tx>
            <rich>
              <a:bodyPr/>
              <a:p>
                <a:pPr>
                  <a:defRPr/>
                </a:pPr>
                <a:r>
                  <a:t>% or benchmark score</a:t>
                </a:r>
              </a:p>
            </rich>
          </tx>
        </title>
        <majorTickMark val="none"/>
        <minorTickMark val="none"/>
        <spPr>
          <a:ln>
            <a:noFill/>
            <a:prstDash val="solid"/>
          </a:ln>
        </spPr>
        <crossAx val="100"/>
        <lblOffset val="100"/>
      </catAx>
      <valAx>
        <axId val="100"/>
        <scaling>
          <orientation val="minMax"/>
        </scaling>
        <axPos val="l"/>
        <majorTickMark val="none"/>
        <minorTickMark val="none"/>
        <spPr>
          <a:ln>
            <a:noFill/>
            <a:prstDash val="solid"/>
          </a:ln>
        </spPr>
        <crossAx val="10"/>
      </valAx>
    </plotArea>
    <legend>
      <legendPos val="b"/>
      <overlay val="0"/>
    </legend>
    <plotVisOnly val="1"/>
    <dispBlanksAs val="gap"/>
  </chart>
</chartSpace>
</file>

<file path=xl/charts/chart9.xml><?xml version="1.0" encoding="utf-8"?>
<chartSpace xmlns:a="http://schemas.openxmlformats.org/drawingml/2006/main" xmlns="http://schemas.openxmlformats.org/drawingml/2006/chart">
  <chart>
    <plotArea>
      <barChart>
        <barDir val="bar"/>
        <grouping val="clustered"/>
        <ser>
          <idx val="0"/>
          <order val="0"/>
          <tx>
            <strRef>
              <f>'F8_SMVDIGITAL'!B4</f>
            </strRef>
          </tx>
          <spPr>
            <a:solidFill>
              <a:srgbClr val="2E6DB4"/>
            </a:solidFill>
            <a:ln>
              <a:noFill/>
              <a:prstDash val="solid"/>
            </a:ln>
          </spPr>
          <cat>
            <numRef>
              <f>'F8_SMVDIGITAL'!$A$5:$A$7</f>
            </numRef>
          </cat>
          <val>
            <numRef>
              <f>'F8_SMVDIGITAL'!$B$5:$B$7</f>
            </numRef>
          </val>
        </ser>
        <gapWidth val="80"/>
        <axId val="10"/>
        <axId val="100"/>
      </barChart>
      <catAx>
        <axId val="10"/>
        <scaling>
          <orientation val="minMax"/>
        </scaling>
        <axPos val="l"/>
        <title>
          <tx>
            <rich>
              <a:bodyPr/>
              <a:p>
                <a:pPr>
                  <a:defRPr/>
                </a:pPr>
                <a:r>
                  <a:t>% of participating enterprises / count</a:t>
                </a:r>
              </a:p>
            </rich>
          </tx>
        </title>
        <majorTickMark val="none"/>
        <minorTickMark val="none"/>
        <spPr>
          <a:ln>
            <a:noFill/>
            <a:prstDash val="solid"/>
          </a:ln>
        </spPr>
        <crossAx val="100"/>
        <lblOffset val="100"/>
      </catAx>
      <valAx>
        <axId val="100"/>
        <scaling>
          <orientation val="minMax"/>
        </scaling>
        <axPos val="l"/>
        <majorTickMark val="none"/>
        <minorTickMark val="none"/>
        <spPr>
          <a:ln>
            <a:noFill/>
            <a:prstDash val="solid"/>
          </a:ln>
        </spPr>
        <crossAx val="10"/>
      </valAx>
    </plotArea>
    <plotVisOnly val="1"/>
    <dispBlanksAs val="gap"/>
  </chart>
</chartSpace>
</file>

<file path=xl/charts/chart10.xml><?xml version="1.0" encoding="utf-8"?>
<chartSpace xmlns:a="http://schemas.openxmlformats.org/drawingml/2006/main" xmlns="http://schemas.openxmlformats.org/drawingml/2006/chart">
  <chart>
    <plotArea>
      <barChart>
        <barDir val="bar"/>
        <grouping val="clustered"/>
        <ser>
          <idx val="0"/>
          <order val="0"/>
          <tx>
            <strRef>
              <f>'F9_CONSOLIDATION'!H4</f>
            </strRef>
          </tx>
          <spPr>
            <a:solidFill>
              <a:srgbClr val="1F3A5F"/>
            </a:solidFill>
            <a:ln>
              <a:noFill/>
              <a:prstDash val="solid"/>
            </a:ln>
          </spPr>
          <dPt>
            <idx val="0"/>
            <spPr>
              <a:solidFill>
                <a:srgbClr val="1F3A5F"/>
              </a:solidFill>
              <a:ln>
                <a:noFill/>
                <a:prstDash val="solid"/>
              </a:ln>
            </spPr>
          </dPt>
          <dPt>
            <idx val="1"/>
            <spPr>
              <a:solidFill>
                <a:srgbClr val="1F3A5F"/>
              </a:solidFill>
              <a:ln>
                <a:noFill/>
                <a:prstDash val="solid"/>
              </a:ln>
            </spPr>
          </dPt>
          <dPt>
            <idx val="2"/>
            <spPr>
              <a:solidFill>
                <a:srgbClr val="2E6DB4"/>
              </a:solidFill>
              <a:ln>
                <a:noFill/>
                <a:prstDash val="solid"/>
              </a:ln>
            </spPr>
          </dPt>
          <cat>
            <numRef>
              <f>'F9_CONSOLIDATION'!$G$5:$G$7</f>
            </numRef>
          </cat>
          <val>
            <numRef>
              <f>'F9_CONSOLIDATION'!$H$5:$H$7</f>
            </numRef>
          </val>
        </ser>
        <gapWidth val="80"/>
        <axId val="10"/>
        <axId val="100"/>
      </barChart>
      <catAx>
        <axId val="10"/>
        <scaling>
          <orientation val="minMax"/>
        </scaling>
        <axPos val="l"/>
        <title>
          <tx>
            <rich>
              <a:bodyPr/>
              <a:p>
                <a:pPr>
                  <a:defRPr/>
                </a:pPr>
                <a:r>
                  <a:t>Change over the stated period</a:t>
                </a:r>
              </a:p>
            </rich>
          </tx>
        </title>
        <majorTickMark val="none"/>
        <minorTickMark val="none"/>
        <spPr>
          <a:ln>
            <a:noFill/>
            <a:prstDash val="solid"/>
          </a:ln>
        </spPr>
        <crossAx val="100"/>
        <lblOffset val="100"/>
      </catAx>
      <valAx>
        <axId val="100"/>
        <scaling>
          <orientation val="minMax"/>
        </scaling>
        <axPos val="l"/>
        <majorTickMark val="none"/>
        <minorTickMark val="none"/>
        <spPr>
          <a:ln>
            <a:noFill/>
            <a:prstDash val="solid"/>
          </a:ln>
        </spPr>
        <crossAx val="10"/>
      </valAx>
    </plotArea>
    <plotVisOnly val="1"/>
    <dispBlanksAs val="gap"/>
  </chart>
</chartSpace>
</file>

<file path=xl/charts/chart11.xml><?xml version="1.0" encoding="utf-8"?>
<chartSpace xmlns:a="http://schemas.openxmlformats.org/drawingml/2006/main" xmlns="http://schemas.openxmlformats.org/drawingml/2006/chart">
  <chart>
    <plotArea>
      <barChart>
        <barDir val="col"/>
        <grouping val="clustered"/>
        <ser>
          <idx val="0"/>
          <order val="0"/>
          <tx>
            <strRef>
              <f>'F10_SKILLS'!B4</f>
            </strRef>
          </tx>
          <spPr>
            <a:solidFill>
              <a:srgbClr val="2E6DB4"/>
            </a:solidFill>
            <a:ln>
              <a:noFill/>
              <a:prstDash val="solid"/>
            </a:ln>
          </spPr>
          <cat>
            <numRef>
              <f>'F10_SKILLS'!$A$5:$A$7</f>
            </numRef>
          </cat>
          <val>
            <numRef>
              <f>'F10_SKILLS'!$B$5:$B$7</f>
            </numRef>
          </val>
        </ser>
        <ser>
          <idx val="1"/>
          <order val="1"/>
          <tx>
            <strRef>
              <f>'F10_SKILLS'!C4</f>
            </strRef>
          </tx>
          <spPr>
            <a:solidFill>
              <a:srgbClr val="A3A3A3"/>
            </a:solidFill>
            <a:ln>
              <a:noFill/>
              <a:prstDash val="solid"/>
            </a:ln>
          </spPr>
          <cat>
            <numRef>
              <f>'F10_SKILLS'!$A$5:$A$7</f>
            </numRef>
          </cat>
          <val>
            <numRef>
              <f>'F10_SKILLS'!$C$5:$C$7</f>
            </numRef>
          </val>
        </ser>
        <gapWidth val="80"/>
        <overlap val="-27"/>
        <axId val="10"/>
        <axId val="100"/>
      </barChart>
      <catAx>
        <axId val="10"/>
        <scaling>
          <orientation val="minMax"/>
        </scaling>
        <axPos val="l"/>
        <title>
          <tx>
            <rich>
              <a:bodyPr/>
              <a:p>
                <a:pPr>
                  <a:defRPr/>
                </a:pPr>
                <a:r>
                  <a:t>Age band</a:t>
                </a:r>
              </a:p>
            </rich>
          </tx>
        </title>
        <majorTickMark val="none"/>
        <minorTickMark val="none"/>
        <spPr>
          <a:ln>
            <a:noFill/>
            <a:prstDash val="solid"/>
          </a:ln>
        </spPr>
        <crossAx val="100"/>
        <lblOffset val="100"/>
      </catAx>
      <valAx>
        <axId val="100"/>
        <scaling>
          <orientation val="minMax"/>
          <max val="100"/>
        </scaling>
        <axPos val="l"/>
        <title>
          <tx>
            <rich>
              <a:bodyPr/>
              <a:p>
                <a:pPr>
                  <a:defRPr/>
                </a:pPr>
                <a:r>
                  <a:t>% of age group</a:t>
                </a:r>
              </a:p>
            </rich>
          </tx>
        </title>
        <majorTickMark val="none"/>
        <minorTickMark val="none"/>
        <spPr>
          <a:ln>
            <a:noFill/>
            <a:prstDash val="solid"/>
          </a:ln>
        </spPr>
        <crossAx val="10"/>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_rels/drawing4.xml.rels><Relationships xmlns="http://schemas.openxmlformats.org/package/2006/relationships"><Relationship Type="http://schemas.openxmlformats.org/officeDocument/2006/relationships/chart" Target="/xl/charts/chart5.xml" Id="rId1" /></Relationships>
</file>

<file path=xl/drawings/_rels/drawing5.xml.rels><Relationships xmlns="http://schemas.openxmlformats.org/package/2006/relationships"><Relationship Type="http://schemas.openxmlformats.org/officeDocument/2006/relationships/chart" Target="/xl/charts/chart6.xml" Id="rId1" /></Relationships>
</file>

<file path=xl/drawings/_rels/drawing6.xml.rels><Relationships xmlns="http://schemas.openxmlformats.org/package/2006/relationships"><Relationship Type="http://schemas.openxmlformats.org/officeDocument/2006/relationships/chart" Target="/xl/charts/chart7.xml" Id="rId1" /></Relationships>
</file>

<file path=xl/drawings/_rels/drawing7.xml.rels><Relationships xmlns="http://schemas.openxmlformats.org/package/2006/relationships"><Relationship Type="http://schemas.openxmlformats.org/officeDocument/2006/relationships/chart" Target="/xl/charts/chart8.xml" Id="rId1" /></Relationships>
</file>

<file path=xl/drawings/_rels/drawing8.xml.rels><Relationships xmlns="http://schemas.openxmlformats.org/package/2006/relationships"><Relationship Type="http://schemas.openxmlformats.org/officeDocument/2006/relationships/chart" Target="/xl/charts/chart9.xml" Id="rId1" /></Relationships>
</file>

<file path=xl/drawings/_rels/drawing9.xml.rels><Relationships xmlns="http://schemas.openxmlformats.org/package/2006/relationships"><Relationship Type="http://schemas.openxmlformats.org/officeDocument/2006/relationships/chart" Target="/xl/charts/chart10.xml" Id="rId1" /></Relationships>
</file>

<file path=xl/drawings/_rels/drawing10.xml.rels><Relationships xmlns="http://schemas.openxmlformats.org/package/2006/relationships"><Relationship Type="http://schemas.openxmlformats.org/officeDocument/2006/relationships/chart" Target="/xl/charts/chart1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10</row>
      <rowOff>0</rowOff>
    </from>
    <ext cx="540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40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6120000" cy="64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54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_rels/sheet9.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_rels/sheet11.xml.rels><Relationships xmlns="http://schemas.openxmlformats.org/package/2006/relationships"><Relationship Type="http://schemas.openxmlformats.org/officeDocument/2006/relationships/drawing" Target="/xl/drawings/drawing5.xml" Id="rId1" /></Relationships>
</file>

<file path=xl/worksheets/_rels/sheet12.xml.rels><Relationships xmlns="http://schemas.openxmlformats.org/package/2006/relationships"><Relationship Type="http://schemas.openxmlformats.org/officeDocument/2006/relationships/drawing" Target="/xl/drawings/drawing6.xml" Id="rId1" /></Relationships>
</file>

<file path=xl/worksheets/_rels/sheet13.xml.rels><Relationships xmlns="http://schemas.openxmlformats.org/package/2006/relationships"><Relationship Type="http://schemas.openxmlformats.org/officeDocument/2006/relationships/drawing" Target="/xl/drawings/drawing7.xml" Id="rId1" /></Relationships>
</file>

<file path=xl/worksheets/_rels/sheet14.xml.rels><Relationships xmlns="http://schemas.openxmlformats.org/package/2006/relationships"><Relationship Type="http://schemas.openxmlformats.org/officeDocument/2006/relationships/drawing" Target="/xl/drawings/drawing8.xml" Id="rId1" /></Relationships>
</file>

<file path=xl/worksheets/_rels/sheet15.xml.rels><Relationships xmlns="http://schemas.openxmlformats.org/package/2006/relationships"><Relationship Type="http://schemas.openxmlformats.org/officeDocument/2006/relationships/drawing" Target="/xl/drawings/drawing9.xml" Id="rId1" /></Relationships>
</file>

<file path=xl/worksheets/_rels/sheet16.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26" customWidth="1" min="1" max="1"/>
    <col width="78" customWidth="1" min="2" max="2"/>
  </cols>
  <sheetData>
    <row r="1">
      <c r="A1" s="1" t="inlineStr">
        <is>
          <t>Denmark: Digital Adoption and Policy Outcomes</t>
        </is>
      </c>
    </row>
    <row r="2">
      <c r="A2" s="2" t="inlineStr">
        <is>
          <t>Statistical annex to Assessment 2 - Digital Policy and Innovation Report</t>
        </is>
      </c>
    </row>
    <row r="4">
      <c r="A4" s="3" t="inlineStr">
        <is>
          <t>Student ID</t>
        </is>
      </c>
      <c r="B4" s="4" t="inlineStr">
        <is>
          <t>s4040040</t>
        </is>
      </c>
    </row>
    <row r="5">
      <c r="A5" s="3" t="inlineStr">
        <is>
          <t>Course</t>
        </is>
      </c>
      <c r="B5" s="4" t="inlineStr">
        <is>
          <t>ECON1596/ECON1597 Digital Economy and Policy</t>
        </is>
      </c>
    </row>
    <row r="6">
      <c r="A6" s="3" t="inlineStr">
        <is>
          <t>Assessment</t>
        </is>
      </c>
      <c r="B6" s="4" t="inlineStr">
        <is>
          <t>Assessment 2 - Digital Policy and Innovation Report</t>
        </is>
      </c>
    </row>
    <row r="7">
      <c r="A7" s="3" t="inlineStr">
        <is>
          <t>Country</t>
        </is>
      </c>
      <c r="B7" s="4" t="inlineStr">
        <is>
          <t>Denmark (assigned by final digit of student ID: 0)</t>
        </is>
      </c>
    </row>
    <row r="8">
      <c r="A8" s="3" t="inlineStr">
        <is>
          <t>Workbook version</t>
        </is>
      </c>
      <c r="B8" s="4" t="inlineStr">
        <is>
          <t>1.0</t>
        </is>
      </c>
    </row>
    <row r="9">
      <c r="A9" s="3" t="inlineStr">
        <is>
          <t>Built</t>
        </is>
      </c>
      <c r="B9" s="4" t="inlineStr">
        <is>
          <t>2026-09-12</t>
        </is>
      </c>
    </row>
    <row r="10">
      <c r="A10" s="3" t="inlineStr">
        <is>
          <t>Observations</t>
        </is>
      </c>
      <c r="B10" s="4" t="inlineStr">
        <is>
          <t>113</t>
        </is>
      </c>
    </row>
    <row r="11">
      <c r="A11" s="3" t="inlineStr">
        <is>
          <t>Coverage</t>
        </is>
      </c>
      <c r="B11" s="4" t="inlineStr">
        <is>
          <t>1991-2026, unbalanced; see 07_LIMITATIONS</t>
        </is>
      </c>
    </row>
    <row r="12">
      <c r="A12" s="3" t="inlineStr"/>
      <c r="B12" s="4" t="inlineStr"/>
    </row>
    <row r="13" ht="42" customHeight="1">
      <c r="A13" s="3" t="inlineStr">
        <is>
          <t>Suggested citation</t>
        </is>
      </c>
      <c r="B13" s="4" t="inlineStr">
        <is>
          <t>Denmark: Digital Adoption and Policy Outcomes [data workbook], v1.0, 2026-09-12. Compiled from the sources listed in 03_SOURCES.</t>
        </is>
      </c>
    </row>
    <row r="14">
      <c r="A14" s="3" t="inlineStr"/>
      <c r="B14" s="4" t="inlineStr"/>
    </row>
    <row r="15" ht="42" customHeight="1">
      <c r="A15" s="3" t="inlineStr">
        <is>
          <t>Provenance rule</t>
        </is>
      </c>
      <c r="B15" s="4" t="inlineStr">
        <is>
          <t>Every value in this workbook was verified against the issuing authority named in its source_id. No value is interpolated, smoothed, or inferred from a neighbouring year. Gaps are left as gaps.</t>
        </is>
      </c>
    </row>
    <row r="16" ht="42" customHeight="1">
      <c r="A16" s="3" t="inlineStr">
        <is>
          <t>Structure rule</t>
        </is>
      </c>
      <c r="B16" s="4" t="inlineStr">
        <is>
          <t>02_MASTER is the single source of truth. Every figure sheet and every derived quantity is a formula view of it, not a pasted copy.</t>
        </is>
      </c>
    </row>
    <row r="18">
      <c r="A18" s="3" t="inlineStr">
        <is>
          <t>CONTENTS</t>
        </is>
      </c>
    </row>
    <row r="19">
      <c r="A19" s="5" t="inlineStr">
        <is>
          <t>01_README</t>
        </is>
      </c>
      <c r="B19" s="6" t="inlineStr">
        <is>
          <t>Conventions, flag legend, how to trace any value</t>
        </is>
      </c>
    </row>
    <row r="20">
      <c r="A20" s="5" t="inlineStr">
        <is>
          <t>02_MASTER</t>
        </is>
      </c>
      <c r="B20" s="6" t="inlineStr">
        <is>
          <t>Every observation, one row each</t>
        </is>
      </c>
    </row>
    <row r="21">
      <c r="A21" s="5" t="inlineStr">
        <is>
          <t>03_SOURCES</t>
        </is>
      </c>
      <c r="B21" s="6" t="inlineStr">
        <is>
          <t>Source register with URLs, access dates, Harvard references</t>
        </is>
      </c>
    </row>
    <row r="22">
      <c r="A22" s="5" t="inlineStr">
        <is>
          <t>04_DEFINITIONS</t>
        </is>
      </c>
      <c r="B22" s="6" t="inlineStr">
        <is>
          <t>What each indicator measures, and what it excludes</t>
        </is>
      </c>
    </row>
    <row r="23">
      <c r="A23" s="5" t="inlineStr">
        <is>
          <t>05_CALC</t>
        </is>
      </c>
      <c r="B23" s="6" t="inlineStr">
        <is>
          <t>Derived quantities, as live formulas</t>
        </is>
      </c>
    </row>
    <row r="24">
      <c r="A24" s="5" t="inlineStr">
        <is>
          <t>F1_BRANCHES</t>
        </is>
      </c>
      <c r="B24" s="6" t="inlineStr">
        <is>
          <t>Figure 1 - bank branch network, 2004-2024</t>
        </is>
      </c>
    </row>
    <row r="25">
      <c r="A25" s="5" t="inlineStr">
        <is>
          <t>F2_PAYMENTS</t>
        </is>
      </c>
      <c r="B25" s="6" t="inlineStr">
        <is>
          <t>Figure 2 - payment instrument shares, 2017-2025</t>
        </is>
      </c>
    </row>
    <row r="26">
      <c r="A26" s="5" t="inlineStr">
        <is>
          <t>F3_ESALES</t>
        </is>
      </c>
      <c r="B26" s="6" t="inlineStr">
        <is>
          <t>Figure 3 - e-sales share of turnover, DK vs EU</t>
        </is>
      </c>
    </row>
    <row r="27">
      <c r="A27" s="5" t="inlineStr">
        <is>
          <t>F4_EXCLUSION</t>
        </is>
      </c>
      <c r="B27" s="6" t="inlineStr">
        <is>
          <t>Figure 4 - measures of digital exclusion</t>
        </is>
      </c>
    </row>
    <row r="28">
      <c r="A28" s="5" t="inlineStr">
        <is>
          <t>F5_EU27</t>
        </is>
      </c>
      <c r="B28" s="6" t="inlineStr">
        <is>
          <t>Figure 5 - online purchasing, all 27 member states, 2024</t>
        </is>
      </c>
    </row>
    <row r="29">
      <c r="A29" s="5" t="inlineStr">
        <is>
          <t>F6_ADOPT_BENEFIT</t>
        </is>
      </c>
      <c r="B29" s="6" t="inlineStr">
        <is>
          <t>Figure 6 - adoption vs economic effect, EU 2024</t>
        </is>
      </c>
    </row>
    <row r="30">
      <c r="A30" s="5" t="inlineStr">
        <is>
          <t>F7_QUALITY</t>
        </is>
      </c>
      <c r="B30" s="6" t="inlineStr">
        <is>
          <t>Figure 7 - DK vs EU: leads on adoption, trails on service quality</t>
        </is>
      </c>
    </row>
    <row r="31">
      <c r="A31" s="5" t="inlineStr">
        <is>
          <t>F8_SMVDIGITAL</t>
        </is>
      </c>
      <c r="B31" s="6" t="inlineStr">
        <is>
          <t>Figure 8 - SMV:Digital, the one policy with a control group</t>
        </is>
      </c>
    </row>
    <row r="32">
      <c r="A32" s="5" t="inlineStr">
        <is>
          <t>F9_CONSOLIDATION</t>
        </is>
      </c>
      <c r="B32" s="6" t="inlineStr">
        <is>
          <t>Figure 9 - banking consolidation on three measures, and the asymmetry between them</t>
        </is>
      </c>
    </row>
    <row r="33">
      <c r="A33" s="5" t="inlineStr">
        <is>
          <t>F10_SKILLS</t>
        </is>
      </c>
      <c r="B33" s="6" t="inlineStr">
        <is>
          <t>Figure 10 - digital skills by age band, DK vs EU-27</t>
        </is>
      </c>
    </row>
    <row r="34">
      <c r="A34" s="5" t="inlineStr">
        <is>
          <t>09_POLICY</t>
        </is>
      </c>
      <c r="B34" s="6" t="inlineStr">
        <is>
          <t>Policy events - dated instruments with legal citations</t>
        </is>
      </c>
    </row>
    <row r="35">
      <c r="A35" s="5" t="inlineStr">
        <is>
          <t>06_RETAIL_GAP</t>
        </is>
      </c>
      <c r="B35" s="6" t="inlineStr">
        <is>
          <t>Documented gap - retail volume index not retrieved</t>
        </is>
      </c>
    </row>
    <row r="36">
      <c r="A36" s="5" t="inlineStr">
        <is>
          <t>07_LIMITATIONS</t>
        </is>
      </c>
      <c r="B36" s="6" t="inlineStr">
        <is>
          <t>Data quality statement - read before citing</t>
        </is>
      </c>
    </row>
    <row r="37">
      <c r="A37" s="5" t="inlineStr">
        <is>
          <t>08_AI_LOG</t>
        </is>
      </c>
      <c r="B37" s="6" t="inlineStr">
        <is>
          <t>AI use and validation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min="1" max="1"/>
    <col width="96" customWidth="1" min="2" max="2"/>
  </cols>
  <sheetData>
    <row r="1" ht="22" customHeight="1">
      <c r="A1" s="7" t="inlineStr">
        <is>
          <t>How to read this workbook</t>
        </is>
      </c>
    </row>
    <row r="4" ht="58" customHeight="1">
      <c r="A4" s="3" t="inlineStr">
        <is>
          <t>PURPOSE</t>
        </is>
      </c>
      <c r="B4" s="4" t="inlineStr">
        <is>
          <t>This workbook is the raw-data attachment to a 2,000-word policy report on Denmark's digital transformation. It is designed so that any number appearing in the report can be traced to an issuing authority, a denominator and an access date without consulting the author.</t>
        </is>
      </c>
    </row>
    <row r="5" ht="58" customHeight="1">
      <c r="A5" s="3" t="inlineStr">
        <is>
          <t>TRACING A VALUE</t>
        </is>
      </c>
      <c r="B5" s="4" t="inlineStr">
        <is>
          <t>1. Find the value on a figure sheet.  2. Read its series_code.  3. Filter 02_MASTER by that series_code to find the observation row.  4. Take its source_id to 03_SOURCES for the authority, URL and access date.  5. Check 04_DEFINITIONS for what the indicator does and does not cover.</t>
        </is>
      </c>
    </row>
    <row r="6" ht="58" customHeight="1">
      <c r="A6" s="3" t="inlineStr">
        <is>
          <t>SINGLE SOURCE OF TRUTH</t>
        </is>
      </c>
      <c r="B6" s="4" t="inlineStr">
        <is>
          <t>02_MASTER holds every observation. Figure sheets contain no typed numbers - each cell is a COUNTIFS/SUMIFS lookup against 02_MASTER. Correcting a value in 02_MASTER updates every sheet and chart that uses it.</t>
        </is>
      </c>
    </row>
    <row r="7" ht="58" customHeight="1">
      <c r="A7" s="3" t="inlineStr">
        <is>
          <t>DENOMINATORS</t>
        </is>
      </c>
      <c r="B7" s="4" t="inlineStr">
        <is>
          <t>The denominator column in 02_MASTER is load-bearing, not decorative. Eurostat's Danish online-purchasing figures change base between 2019 (% of individuals) and 2020 onward (% of internet users). Series with different denominators are never plotted on one axis.</t>
        </is>
      </c>
    </row>
    <row r="9">
      <c r="A9" s="3" t="inlineStr">
        <is>
          <t>FLAG LEGEND</t>
        </is>
      </c>
    </row>
    <row r="10" ht="28" customHeight="1">
      <c r="A10" s="8" t="inlineStr">
        <is>
          <t>Flag</t>
        </is>
      </c>
      <c r="B10" s="8" t="inlineStr">
        <is>
          <t>Meaning</t>
        </is>
      </c>
    </row>
    <row r="11">
      <c r="A11" s="5" t="inlineStr">
        <is>
          <t>b</t>
        </is>
      </c>
      <c r="B11" s="6" t="inlineStr">
        <is>
          <t>Break in series - definition or denominator changed. Do not plot across.</t>
        </is>
      </c>
    </row>
    <row r="12">
      <c r="A12" s="5" t="inlineStr">
        <is>
          <t>e</t>
        </is>
      </c>
      <c r="B12" s="6" t="inlineStr">
        <is>
          <t>Estimate - source gives an approximation or a verbal quantity.</t>
        </is>
      </c>
    </row>
    <row r="13">
      <c r="A13" s="5" t="inlineStr">
        <is>
          <t>p</t>
        </is>
      </c>
      <c r="B13" s="6" t="inlineStr">
        <is>
          <t>Provisional.</t>
        </is>
      </c>
    </row>
    <row r="14">
      <c r="A14" s="5" t="inlineStr">
        <is>
          <t>d</t>
        </is>
      </c>
      <c r="B14" s="6" t="inlineStr">
        <is>
          <t>Definition differs from the rest of the series.</t>
        </is>
      </c>
    </row>
    <row r="15">
      <c r="A15" s="5" t="inlineStr">
        <is>
          <t>u</t>
        </is>
      </c>
      <c r="B15" s="6" t="inlineStr">
        <is>
          <t>Low reliability.</t>
        </is>
      </c>
    </row>
    <row r="16">
      <c r="A16" s="5" t="inlineStr">
        <is>
          <t>(blank)</t>
        </is>
      </c>
      <c r="B16" s="6" t="inlineStr">
        <is>
          <t>Value as published, no qualification.</t>
        </is>
      </c>
    </row>
    <row r="18">
      <c r="A18" s="3" t="inlineStr">
        <is>
          <t>COLOUR LEGEND</t>
        </is>
      </c>
    </row>
    <row r="19">
      <c r="A19" s="9" t="inlineStr"/>
      <c r="B19" s="6" t="inlineStr">
        <is>
          <t>Retrieved value - as published by the source</t>
        </is>
      </c>
    </row>
    <row r="20">
      <c r="A20" s="10" t="inlineStr"/>
      <c r="B20" s="6" t="inlineStr">
        <is>
          <t>Derived - calculated by formula from retrieved values</t>
        </is>
      </c>
    </row>
    <row r="21">
      <c r="A21" s="11" t="inlineStr"/>
      <c r="B21" s="6" t="inlineStr">
        <is>
          <t>Flagged - estimate, break, or otherwise qualified</t>
        </is>
      </c>
    </row>
    <row r="22">
      <c r="A22" s="12" t="inlineStr"/>
      <c r="B22" s="6" t="inlineStr">
        <is>
          <t>Documented gap - value not retrieved</t>
        </is>
      </c>
    </row>
    <row r="25">
      <c r="A25" s="3" t="inlineStr">
        <is>
          <t>BEFORE CITING</t>
        </is>
      </c>
      <c r="B25" s="4" t="inlineStr">
        <is>
          <t>Read 07_LIMITATIONS. Several series have very few observations and none supports inferential statistics.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46" customWidth="1" min="3" max="3"/>
    <col width="7" customWidth="1" min="4" max="4"/>
    <col width="7" customWidth="1" min="5" max="5"/>
    <col width="11" customWidth="1" min="6" max="6"/>
    <col width="12" customWidth="1" min="7" max="7"/>
    <col width="40" customWidth="1" min="8" max="8"/>
    <col width="6" customWidth="1" min="9" max="9"/>
    <col width="10" customWidth="1" min="10" max="10"/>
    <col width="14" customWidth="1" min="11" max="11"/>
    <col width="54" customWidth="1" min="12" max="12"/>
  </cols>
  <sheetData>
    <row r="1" ht="28" customHeight="1">
      <c r="A1" s="8" t="inlineStr">
        <is>
          <t>obs_id</t>
        </is>
      </c>
      <c r="B1" s="8" t="inlineStr">
        <is>
          <t>series_code</t>
        </is>
      </c>
      <c r="C1" s="8" t="inlineStr">
        <is>
          <t>indicator</t>
        </is>
      </c>
      <c r="D1" s="8" t="inlineStr">
        <is>
          <t>geo</t>
        </is>
      </c>
      <c r="E1" s="8" t="inlineStr">
        <is>
          <t>year</t>
        </is>
      </c>
      <c r="F1" s="8" t="inlineStr">
        <is>
          <t>value</t>
        </is>
      </c>
      <c r="G1" s="8" t="inlineStr">
        <is>
          <t>unit</t>
        </is>
      </c>
      <c r="H1" s="8" t="inlineStr">
        <is>
          <t>denominator</t>
        </is>
      </c>
      <c r="I1" s="8" t="inlineStr">
        <is>
          <t>flag</t>
        </is>
      </c>
      <c r="J1" s="8" t="inlineStr">
        <is>
          <t>source_id</t>
        </is>
      </c>
      <c r="K1" s="8" t="inlineStr">
        <is>
          <t>extraction_date</t>
        </is>
      </c>
      <c r="L1" s="8" t="inlineStr">
        <is>
          <t>notes</t>
        </is>
      </c>
    </row>
    <row r="2">
      <c r="A2" s="13" t="n">
        <v>1</v>
      </c>
      <c r="B2" s="14" t="inlineStr">
        <is>
          <t>DK.PAY.CASH.POS</t>
        </is>
      </c>
      <c r="C2" s="15" t="inlineStr">
        <is>
          <t>Cash share of payments, physical retail</t>
        </is>
      </c>
      <c r="D2" s="13" t="inlineStr">
        <is>
          <t>DK</t>
        </is>
      </c>
      <c r="E2" s="13" t="n">
        <v>2017</v>
      </c>
      <c r="F2" s="16" t="n">
        <v>23</v>
      </c>
      <c r="G2" s="13" t="inlineStr">
        <is>
          <t>%</t>
        </is>
      </c>
      <c r="H2" s="15" t="inlineStr">
        <is>
          <t>share of number of payments in physical retail</t>
        </is>
      </c>
      <c r="I2" s="13" t="inlineStr"/>
      <c r="J2" s="14" t="inlineStr">
        <is>
          <t>NB1</t>
        </is>
      </c>
      <c r="K2" s="13" t="inlineStr">
        <is>
          <t>2026-09-12</t>
        </is>
      </c>
      <c r="L2" s="15" t="inlineStr"/>
    </row>
    <row r="3">
      <c r="A3" s="13" t="n">
        <v>2</v>
      </c>
      <c r="B3" s="14" t="inlineStr">
        <is>
          <t>DK.PAY.CASH.POS</t>
        </is>
      </c>
      <c r="C3" s="15" t="inlineStr">
        <is>
          <t>Cash share of payments, physical retail</t>
        </is>
      </c>
      <c r="D3" s="13" t="inlineStr">
        <is>
          <t>DK</t>
        </is>
      </c>
      <c r="E3" s="13" t="n">
        <v>2023</v>
      </c>
      <c r="F3" s="16" t="n">
        <v>11</v>
      </c>
      <c r="G3" s="13" t="inlineStr">
        <is>
          <t>%</t>
        </is>
      </c>
      <c r="H3" s="15" t="inlineStr">
        <is>
          <t>share of number of payments in physical retail</t>
        </is>
      </c>
      <c r="I3" s="13" t="inlineStr"/>
      <c r="J3" s="14" t="inlineStr">
        <is>
          <t>NB1</t>
        </is>
      </c>
      <c r="K3" s="13" t="inlineStr">
        <is>
          <t>2026-09-12</t>
        </is>
      </c>
      <c r="L3" s="15" t="inlineStr"/>
    </row>
    <row r="4">
      <c r="A4" s="13" t="n">
        <v>3</v>
      </c>
      <c r="B4" s="14" t="inlineStr">
        <is>
          <t>DK.PAY.CASH.POS</t>
        </is>
      </c>
      <c r="C4" s="15" t="inlineStr">
        <is>
          <t>Cash share of payments, physical retail</t>
        </is>
      </c>
      <c r="D4" s="13" t="inlineStr">
        <is>
          <t>DK</t>
        </is>
      </c>
      <c r="E4" s="13" t="n">
        <v>2025</v>
      </c>
      <c r="F4" s="16" t="n">
        <v>9</v>
      </c>
      <c r="G4" s="13" t="inlineStr">
        <is>
          <t>%</t>
        </is>
      </c>
      <c r="H4" s="15" t="inlineStr">
        <is>
          <t>share of number of payments in physical retail</t>
        </is>
      </c>
      <c r="I4" s="13" t="inlineStr"/>
      <c r="J4" s="14" t="inlineStr">
        <is>
          <t>NB1</t>
        </is>
      </c>
      <c r="K4" s="13" t="inlineStr">
        <is>
          <t>2026-09-12</t>
        </is>
      </c>
      <c r="L4" s="15" t="inlineStr"/>
    </row>
    <row r="5">
      <c r="A5" s="13" t="n">
        <v>4</v>
      </c>
      <c r="B5" s="14" t="inlineStr">
        <is>
          <t>DK.PAY.CRD.PHYS</t>
        </is>
      </c>
      <c r="C5" s="15" t="inlineStr">
        <is>
          <t>Physical payment card share of payments</t>
        </is>
      </c>
      <c r="D5" s="13" t="inlineStr">
        <is>
          <t>DK</t>
        </is>
      </c>
      <c r="E5" s="13" t="n">
        <v>2017</v>
      </c>
      <c r="F5" s="16" t="n">
        <v>73</v>
      </c>
      <c r="G5" s="13" t="inlineStr">
        <is>
          <t>%</t>
        </is>
      </c>
      <c r="H5" s="15" t="inlineStr">
        <is>
          <t>share of number of payments in physical retail</t>
        </is>
      </c>
      <c r="I5" s="13" t="inlineStr"/>
      <c r="J5" s="14" t="inlineStr">
        <is>
          <t>NB1</t>
        </is>
      </c>
      <c r="K5" s="13" t="inlineStr">
        <is>
          <t>2026-09-12</t>
        </is>
      </c>
      <c r="L5" s="15" t="inlineStr"/>
    </row>
    <row r="6">
      <c r="A6" s="13" t="n">
        <v>5</v>
      </c>
      <c r="B6" s="14" t="inlineStr">
        <is>
          <t>DK.PAY.CRD.PHYS</t>
        </is>
      </c>
      <c r="C6" s="15" t="inlineStr">
        <is>
          <t>Physical payment card share of payments</t>
        </is>
      </c>
      <c r="D6" s="13" t="inlineStr">
        <is>
          <t>DK</t>
        </is>
      </c>
      <c r="E6" s="13" t="n">
        <v>2025</v>
      </c>
      <c r="F6" s="16" t="n">
        <v>54</v>
      </c>
      <c r="G6" s="13" t="inlineStr">
        <is>
          <t>%</t>
        </is>
      </c>
      <c r="H6" s="15" t="inlineStr">
        <is>
          <t>share of number of payments in physical retail</t>
        </is>
      </c>
      <c r="I6" s="13" t="inlineStr"/>
      <c r="J6" s="14" t="inlineStr">
        <is>
          <t>NB1</t>
        </is>
      </c>
      <c r="K6" s="13" t="inlineStr">
        <is>
          <t>2026-09-12</t>
        </is>
      </c>
      <c r="L6" s="15" t="inlineStr"/>
    </row>
    <row r="7">
      <c r="A7" s="13" t="n">
        <v>6</v>
      </c>
      <c r="B7" s="14" t="inlineStr">
        <is>
          <t>DK.PAY.WLT.SHR</t>
        </is>
      </c>
      <c r="C7" s="15" t="inlineStr">
        <is>
          <t>Mobile wallet share of payments</t>
        </is>
      </c>
      <c r="D7" s="13" t="inlineStr">
        <is>
          <t>DK</t>
        </is>
      </c>
      <c r="E7" s="13" t="n">
        <v>2025</v>
      </c>
      <c r="F7" s="16" t="n">
        <v>32</v>
      </c>
      <c r="G7" s="13" t="inlineStr">
        <is>
          <t>%</t>
        </is>
      </c>
      <c r="H7" s="15" t="inlineStr">
        <is>
          <t>share of number of payments in physical retail</t>
        </is>
      </c>
      <c r="I7" s="13" t="inlineStr"/>
      <c r="J7" s="14" t="inlineStr">
        <is>
          <t>NB1</t>
        </is>
      </c>
      <c r="K7" s="13" t="inlineStr">
        <is>
          <t>2026-09-12</t>
        </is>
      </c>
      <c r="L7" s="15" t="inlineStr">
        <is>
          <t>Card-based wallets on mobile phones (e.g. Apple Pay, Google Pay).</t>
        </is>
      </c>
    </row>
    <row r="8">
      <c r="A8" s="13" t="n">
        <v>7</v>
      </c>
      <c r="B8" s="14" t="inlineStr">
        <is>
          <t>DK.PAY.DIG.POS.NUM</t>
        </is>
      </c>
      <c r="C8" s="15" t="inlineStr">
        <is>
          <t>Digital share of payments, by number</t>
        </is>
      </c>
      <c r="D8" s="13" t="inlineStr">
        <is>
          <t>DK</t>
        </is>
      </c>
      <c r="E8" s="13" t="n">
        <v>2025</v>
      </c>
      <c r="F8" s="16" t="n">
        <v>91</v>
      </c>
      <c r="G8" s="13" t="inlineStr">
        <is>
          <t>%</t>
        </is>
      </c>
      <c r="H8" s="15" t="inlineStr">
        <is>
          <t>share of number of payments in physical retail</t>
        </is>
      </c>
      <c r="I8" s="13" t="inlineStr"/>
      <c r="J8" s="14" t="inlineStr">
        <is>
          <t>NB1</t>
        </is>
      </c>
      <c r="K8" s="13" t="inlineStr">
        <is>
          <t>2026-09-12</t>
        </is>
      </c>
      <c r="L8" s="15" t="inlineStr"/>
    </row>
    <row r="9">
      <c r="A9" s="13" t="n">
        <v>8</v>
      </c>
      <c r="B9" s="14" t="inlineStr">
        <is>
          <t>DK.PAY.DIG.POS.VAL</t>
        </is>
      </c>
      <c r="C9" s="15" t="inlineStr">
        <is>
          <t>Digital share of payments, by value</t>
        </is>
      </c>
      <c r="D9" s="13" t="inlineStr">
        <is>
          <t>DK</t>
        </is>
      </c>
      <c r="E9" s="13" t="n">
        <v>2025</v>
      </c>
      <c r="F9" s="16" t="n">
        <v>93</v>
      </c>
      <c r="G9" s="13" t="inlineStr">
        <is>
          <t>%</t>
        </is>
      </c>
      <c r="H9" s="15" t="inlineStr">
        <is>
          <t>share of value of payments in physical retail</t>
        </is>
      </c>
      <c r="I9" s="13" t="inlineStr"/>
      <c r="J9" s="14" t="inlineStr">
        <is>
          <t>NB1</t>
        </is>
      </c>
      <c r="K9" s="13" t="inlineStr">
        <is>
          <t>2026-09-12</t>
        </is>
      </c>
      <c r="L9" s="15" t="inlineStr">
        <is>
          <t>Different denominator from the by-number series - do not plot together.</t>
        </is>
      </c>
    </row>
    <row r="10">
      <c r="A10" s="13" t="n">
        <v>9</v>
      </c>
      <c r="B10" s="14" t="inlineStr">
        <is>
          <t>DK.PAY.WLT.OWN</t>
        </is>
      </c>
      <c r="C10" s="15" t="inlineStr">
        <is>
          <t>Citizens holding a mobile wallet solution</t>
        </is>
      </c>
      <c r="D10" s="13" t="inlineStr">
        <is>
          <t>DK</t>
        </is>
      </c>
      <c r="E10" s="13" t="n">
        <v>2019</v>
      </c>
      <c r="F10" s="16" t="n">
        <v>12</v>
      </c>
      <c r="G10" s="13" t="inlineStr">
        <is>
          <t>%</t>
        </is>
      </c>
      <c r="H10" s="15" t="inlineStr">
        <is>
          <t>% of citizens</t>
        </is>
      </c>
      <c r="I10" s="13" t="inlineStr"/>
      <c r="J10" s="14" t="inlineStr">
        <is>
          <t>NB1</t>
        </is>
      </c>
      <c r="K10" s="13" t="inlineStr">
        <is>
          <t>2026-09-12</t>
        </is>
      </c>
      <c r="L10" s="15" t="inlineStr">
        <is>
          <t>Memo only - denominator differs from F2 series.</t>
        </is>
      </c>
    </row>
    <row r="11">
      <c r="A11" s="13" t="n">
        <v>10</v>
      </c>
      <c r="B11" s="14" t="inlineStr">
        <is>
          <t>DK.PAY.WLT.OWN</t>
        </is>
      </c>
      <c r="C11" s="15" t="inlineStr">
        <is>
          <t>Citizens holding a mobile wallet solution</t>
        </is>
      </c>
      <c r="D11" s="13" t="inlineStr">
        <is>
          <t>DK</t>
        </is>
      </c>
      <c r="E11" s="13" t="n">
        <v>2023</v>
      </c>
      <c r="F11" s="16" t="n">
        <v>41</v>
      </c>
      <c r="G11" s="13" t="inlineStr">
        <is>
          <t>%</t>
        </is>
      </c>
      <c r="H11" s="15" t="inlineStr">
        <is>
          <t>% of citizens</t>
        </is>
      </c>
      <c r="I11" s="13" t="inlineStr"/>
      <c r="J11" s="14" t="inlineStr">
        <is>
          <t>NB1</t>
        </is>
      </c>
      <c r="K11" s="13" t="inlineStr">
        <is>
          <t>2026-09-12</t>
        </is>
      </c>
      <c r="L11" s="15" t="inlineStr">
        <is>
          <t>Memo only - denominator differs from F2 series.</t>
        </is>
      </c>
    </row>
    <row r="12">
      <c r="A12" s="13" t="n">
        <v>11</v>
      </c>
      <c r="B12" s="14" t="inlineStr">
        <is>
          <t>DK.PAY.WLT.OWN</t>
        </is>
      </c>
      <c r="C12" s="15" t="inlineStr">
        <is>
          <t>Citizens holding a mobile wallet solution</t>
        </is>
      </c>
      <c r="D12" s="13" t="inlineStr">
        <is>
          <t>DK</t>
        </is>
      </c>
      <c r="E12" s="13" t="n">
        <v>2025</v>
      </c>
      <c r="F12" s="16" t="n">
        <v>51</v>
      </c>
      <c r="G12" s="13" t="inlineStr">
        <is>
          <t>%</t>
        </is>
      </c>
      <c r="H12" s="15" t="inlineStr">
        <is>
          <t>% of citizens</t>
        </is>
      </c>
      <c r="I12" s="13" t="inlineStr"/>
      <c r="J12" s="14" t="inlineStr">
        <is>
          <t>NB1</t>
        </is>
      </c>
      <c r="K12" s="13" t="inlineStr">
        <is>
          <t>2026-09-12</t>
        </is>
      </c>
      <c r="L12" s="15" t="inlineStr">
        <is>
          <t>Memo only - denominator differs from F2 series.</t>
        </is>
      </c>
    </row>
    <row r="13">
      <c r="A13" s="13" t="n">
        <v>12</v>
      </c>
      <c r="B13" s="14" t="inlineStr">
        <is>
          <t>DK.FIN.BRCH</t>
        </is>
      </c>
      <c r="C13" s="15" t="inlineStr">
        <is>
          <t>Bank branches</t>
        </is>
      </c>
      <c r="D13" s="13" t="inlineStr">
        <is>
          <t>DK</t>
        </is>
      </c>
      <c r="E13" s="13" t="n">
        <v>2004</v>
      </c>
      <c r="F13" s="17" t="n">
        <v>2025</v>
      </c>
      <c r="G13" s="13" t="inlineStr">
        <is>
          <t>count</t>
        </is>
      </c>
      <c r="H13" s="15" t="inlineStr">
        <is>
          <t>branches</t>
        </is>
      </c>
      <c r="I13" s="13" t="inlineStr"/>
      <c r="J13" s="14" t="inlineStr">
        <is>
          <t>FD1</t>
        </is>
      </c>
      <c r="K13" s="13" t="inlineStr">
        <is>
          <t>2026-09-12</t>
        </is>
      </c>
      <c r="L13" s="15" t="inlineStr"/>
    </row>
    <row r="14">
      <c r="A14" s="13" t="n">
        <v>13</v>
      </c>
      <c r="B14" s="14" t="inlineStr">
        <is>
          <t>DK.FIN.BRCH</t>
        </is>
      </c>
      <c r="C14" s="15" t="inlineStr">
        <is>
          <t>Bank branches</t>
        </is>
      </c>
      <c r="D14" s="13" t="inlineStr">
        <is>
          <t>DK</t>
        </is>
      </c>
      <c r="E14" s="13" t="n">
        <v>2006</v>
      </c>
      <c r="F14" s="17" t="n">
        <v>1975</v>
      </c>
      <c r="G14" s="13" t="inlineStr">
        <is>
          <t>count</t>
        </is>
      </c>
      <c r="H14" s="15" t="inlineStr">
        <is>
          <t>branches</t>
        </is>
      </c>
      <c r="I14" s="13" t="inlineStr"/>
      <c r="J14" s="14" t="inlineStr">
        <is>
          <t>FD1</t>
        </is>
      </c>
      <c r="K14" s="13" t="inlineStr">
        <is>
          <t>2026-09-12</t>
        </is>
      </c>
      <c r="L14" s="15" t="inlineStr"/>
    </row>
    <row r="15">
      <c r="A15" s="13" t="n">
        <v>14</v>
      </c>
      <c r="B15" s="14" t="inlineStr">
        <is>
          <t>DK.FIN.BRCH</t>
        </is>
      </c>
      <c r="C15" s="15" t="inlineStr">
        <is>
          <t>Bank branches</t>
        </is>
      </c>
      <c r="D15" s="13" t="inlineStr">
        <is>
          <t>DK</t>
        </is>
      </c>
      <c r="E15" s="13" t="n">
        <v>2010</v>
      </c>
      <c r="F15" s="17" t="n">
        <v>1598</v>
      </c>
      <c r="G15" s="13" t="inlineStr">
        <is>
          <t>count</t>
        </is>
      </c>
      <c r="H15" s="15" t="inlineStr">
        <is>
          <t>branches</t>
        </is>
      </c>
      <c r="I15" s="13" t="inlineStr"/>
      <c r="J15" s="14" t="inlineStr">
        <is>
          <t>FD1</t>
        </is>
      </c>
      <c r="K15" s="13" t="inlineStr">
        <is>
          <t>2026-09-12</t>
        </is>
      </c>
      <c r="L15" s="15" t="inlineStr"/>
    </row>
    <row r="16">
      <c r="A16" s="13" t="n">
        <v>15</v>
      </c>
      <c r="B16" s="14" t="inlineStr">
        <is>
          <t>DK.FIN.BRCH</t>
        </is>
      </c>
      <c r="C16" s="15" t="inlineStr">
        <is>
          <t>Bank branches</t>
        </is>
      </c>
      <c r="D16" s="13" t="inlineStr">
        <is>
          <t>DK</t>
        </is>
      </c>
      <c r="E16" s="13" t="n">
        <v>2016</v>
      </c>
      <c r="F16" s="17" t="n">
        <v>948</v>
      </c>
      <c r="G16" s="13" t="inlineStr">
        <is>
          <t>count</t>
        </is>
      </c>
      <c r="H16" s="15" t="inlineStr">
        <is>
          <t>branches</t>
        </is>
      </c>
      <c r="I16" s="13" t="inlineStr"/>
      <c r="J16" s="14" t="inlineStr">
        <is>
          <t>FD1</t>
        </is>
      </c>
      <c r="K16" s="13" t="inlineStr">
        <is>
          <t>2026-09-12</t>
        </is>
      </c>
      <c r="L16" s="15" t="inlineStr"/>
    </row>
    <row r="17">
      <c r="A17" s="13" t="n">
        <v>16</v>
      </c>
      <c r="B17" s="14" t="inlineStr">
        <is>
          <t>DK.FIN.BRCH</t>
        </is>
      </c>
      <c r="C17" s="15" t="inlineStr">
        <is>
          <t>Bank branches</t>
        </is>
      </c>
      <c r="D17" s="13" t="inlineStr">
        <is>
          <t>DK</t>
        </is>
      </c>
      <c r="E17" s="13" t="n">
        <v>2021</v>
      </c>
      <c r="F17" s="17" t="n">
        <v>701</v>
      </c>
      <c r="G17" s="13" t="inlineStr">
        <is>
          <t>count</t>
        </is>
      </c>
      <c r="H17" s="15" t="inlineStr">
        <is>
          <t>branches</t>
        </is>
      </c>
      <c r="I17" s="13" t="inlineStr"/>
      <c r="J17" s="14" t="inlineStr">
        <is>
          <t>FD1</t>
        </is>
      </c>
      <c r="K17" s="13" t="inlineStr">
        <is>
          <t>2026-09-12</t>
        </is>
      </c>
      <c r="L17" s="15" t="inlineStr"/>
    </row>
    <row r="18">
      <c r="A18" s="13" t="n">
        <v>17</v>
      </c>
      <c r="B18" s="14" t="inlineStr">
        <is>
          <t>DK.FIN.BRCH</t>
        </is>
      </c>
      <c r="C18" s="15" t="inlineStr">
        <is>
          <t>Bank branches</t>
        </is>
      </c>
      <c r="D18" s="13" t="inlineStr">
        <is>
          <t>DK</t>
        </is>
      </c>
      <c r="E18" s="13" t="n">
        <v>2024</v>
      </c>
      <c r="F18" s="17" t="n">
        <v>665</v>
      </c>
      <c r="G18" s="13" t="inlineStr">
        <is>
          <t>count</t>
        </is>
      </c>
      <c r="H18" s="15" t="inlineStr">
        <is>
          <t>branches</t>
        </is>
      </c>
      <c r="I18" s="13" t="inlineStr"/>
      <c r="J18" s="14" t="inlineStr">
        <is>
          <t>FD1</t>
        </is>
      </c>
      <c r="K18" s="13" t="inlineStr">
        <is>
          <t>2026-09-12</t>
        </is>
      </c>
      <c r="L18" s="15" t="inlineStr"/>
    </row>
    <row r="19">
      <c r="A19" s="13" t="n">
        <v>18</v>
      </c>
      <c r="B19" s="14" t="inlineStr">
        <is>
          <t>DK.FIN.INST</t>
        </is>
      </c>
      <c r="C19" s="15" t="inlineStr">
        <is>
          <t>Financial institutions</t>
        </is>
      </c>
      <c r="D19" s="13" t="inlineStr">
        <is>
          <t>DK</t>
        </is>
      </c>
      <c r="E19" s="13" t="n">
        <v>1991</v>
      </c>
      <c r="F19" s="17" t="n">
        <v>219</v>
      </c>
      <c r="G19" s="13" t="inlineStr">
        <is>
          <t>count</t>
        </is>
      </c>
      <c r="H19" s="15" t="inlineStr">
        <is>
          <t>institutions</t>
        </is>
      </c>
      <c r="I19" s="13" t="inlineStr"/>
      <c r="J19" s="14" t="inlineStr">
        <is>
          <t>FD1</t>
        </is>
      </c>
      <c r="K19" s="13" t="inlineStr">
        <is>
          <t>2026-09-12</t>
        </is>
      </c>
      <c r="L19" s="15" t="inlineStr"/>
    </row>
    <row r="20">
      <c r="A20" s="13" t="n">
        <v>19</v>
      </c>
      <c r="B20" s="14" t="inlineStr">
        <is>
          <t>DK.FIN.INST</t>
        </is>
      </c>
      <c r="C20" s="15" t="inlineStr">
        <is>
          <t>Financial institutions</t>
        </is>
      </c>
      <c r="D20" s="13" t="inlineStr">
        <is>
          <t>DK</t>
        </is>
      </c>
      <c r="E20" s="13" t="n">
        <v>2024</v>
      </c>
      <c r="F20" s="17" t="n">
        <v>51</v>
      </c>
      <c r="G20" s="13" t="inlineStr">
        <is>
          <t>count</t>
        </is>
      </c>
      <c r="H20" s="15" t="inlineStr">
        <is>
          <t>institutions</t>
        </is>
      </c>
      <c r="I20" s="13" t="inlineStr"/>
      <c r="J20" s="14" t="inlineStr">
        <is>
          <t>FD1</t>
        </is>
      </c>
      <c r="K20" s="13" t="inlineStr">
        <is>
          <t>2026-09-12</t>
        </is>
      </c>
      <c r="L20" s="15" t="inlineStr"/>
    </row>
    <row r="21">
      <c r="A21" s="18" t="n">
        <v>20</v>
      </c>
      <c r="B21" s="19" t="inlineStr">
        <is>
          <t>DK.FIN.EMP</t>
        </is>
      </c>
      <c r="C21" s="20" t="inlineStr">
        <is>
          <t>Bank employees</t>
        </is>
      </c>
      <c r="D21" s="18" t="inlineStr">
        <is>
          <t>DK</t>
        </is>
      </c>
      <c r="E21" s="18" t="n">
        <v>1991</v>
      </c>
      <c r="F21" s="21" t="n">
        <v>51000</v>
      </c>
      <c r="G21" s="18" t="inlineStr">
        <is>
          <t>count</t>
        </is>
      </c>
      <c r="H21" s="20" t="inlineStr">
        <is>
          <t>persons employed</t>
        </is>
      </c>
      <c r="I21" s="18" t="inlineStr">
        <is>
          <t>e</t>
        </is>
      </c>
      <c r="J21" s="19" t="inlineStr">
        <is>
          <t>FD1</t>
        </is>
      </c>
      <c r="K21" s="18" t="inlineStr">
        <is>
          <t>2026-09-12</t>
        </is>
      </c>
      <c r="L21" s="20" t="inlineStr">
        <is>
          <t>Source states 'around 51,000'.</t>
        </is>
      </c>
    </row>
    <row r="22">
      <c r="A22" s="18" t="n">
        <v>21</v>
      </c>
      <c r="B22" s="19" t="inlineStr">
        <is>
          <t>DK.FIN.EMP</t>
        </is>
      </c>
      <c r="C22" s="20" t="inlineStr">
        <is>
          <t>Bank employees</t>
        </is>
      </c>
      <c r="D22" s="18" t="inlineStr">
        <is>
          <t>DK</t>
        </is>
      </c>
      <c r="E22" s="18" t="n">
        <v>2024</v>
      </c>
      <c r="F22" s="21" t="n">
        <v>36000</v>
      </c>
      <c r="G22" s="18" t="inlineStr">
        <is>
          <t>count</t>
        </is>
      </c>
      <c r="H22" s="20" t="inlineStr">
        <is>
          <t>persons employed</t>
        </is>
      </c>
      <c r="I22" s="18" t="inlineStr">
        <is>
          <t>e</t>
        </is>
      </c>
      <c r="J22" s="19" t="inlineStr">
        <is>
          <t>FD1</t>
        </is>
      </c>
      <c r="K22" s="18" t="inlineStr">
        <is>
          <t>2026-09-12</t>
        </is>
      </c>
      <c r="L22" s="20" t="inlineStr">
        <is>
          <t>Source states 'just under 36,000'.</t>
        </is>
      </c>
    </row>
    <row r="23">
      <c r="A23" s="18" t="n">
        <v>22</v>
      </c>
      <c r="B23" s="19" t="inlineStr">
        <is>
          <t>DK.ECM.IND.BUY</t>
        </is>
      </c>
      <c r="C23" s="20" t="inlineStr">
        <is>
          <t>Individuals who bought online in last 12 months</t>
        </is>
      </c>
      <c r="D23" s="18" t="inlineStr">
        <is>
          <t>DK</t>
        </is>
      </c>
      <c r="E23" s="18" t="n">
        <v>2019</v>
      </c>
      <c r="F23" s="22" t="n">
        <v>84</v>
      </c>
      <c r="G23" s="18" t="inlineStr">
        <is>
          <t>%</t>
        </is>
      </c>
      <c r="H23" s="20" t="inlineStr">
        <is>
          <t>% of individuals</t>
        </is>
      </c>
      <c r="I23" s="18" t="inlineStr">
        <is>
          <t>b</t>
        </is>
      </c>
      <c r="J23" s="19" t="inlineStr">
        <is>
          <t>ES1</t>
        </is>
      </c>
      <c r="K23" s="18" t="inlineStr">
        <is>
          <t>2026-09-12</t>
        </is>
      </c>
      <c r="L23" s="20" t="inlineStr">
        <is>
          <t>BREAK: denominator is % of individuals. Highest in EU that year.</t>
        </is>
      </c>
    </row>
    <row r="24">
      <c r="A24" s="13" t="n">
        <v>23</v>
      </c>
      <c r="B24" s="14" t="inlineStr">
        <is>
          <t>DK.ECM.IND.BUY</t>
        </is>
      </c>
      <c r="C24" s="15" t="inlineStr">
        <is>
          <t>Individuals who bought online in last 12 months</t>
        </is>
      </c>
      <c r="D24" s="13" t="inlineStr">
        <is>
          <t>DK</t>
        </is>
      </c>
      <c r="E24" s="13" t="n">
        <v>2020</v>
      </c>
      <c r="F24" s="16" t="n">
        <v>90</v>
      </c>
      <c r="G24" s="13" t="inlineStr">
        <is>
          <t>%</t>
        </is>
      </c>
      <c r="H24" s="15" t="inlineStr">
        <is>
          <t>% of internet users</t>
        </is>
      </c>
      <c r="I24" s="13" t="inlineStr"/>
      <c r="J24" s="14" t="inlineStr">
        <is>
          <t>ES2</t>
        </is>
      </c>
      <c r="K24" s="13" t="inlineStr">
        <is>
          <t>2026-09-12</t>
        </is>
      </c>
      <c r="L24" s="15" t="inlineStr">
        <is>
          <t>Rounded, from a Eurostat news release. Only the 2024 cross-section is available here unrounded, so this series mixes precisions across years.</t>
        </is>
      </c>
    </row>
    <row r="25">
      <c r="A25" s="13" t="n">
        <v>24</v>
      </c>
      <c r="B25" s="14" t="inlineStr">
        <is>
          <t>DK.ECM.IND.BUY</t>
        </is>
      </c>
      <c r="C25" s="15" t="inlineStr">
        <is>
          <t>Individuals who bought online in last 12 months</t>
        </is>
      </c>
      <c r="D25" s="13" t="inlineStr">
        <is>
          <t>DK</t>
        </is>
      </c>
      <c r="E25" s="13" t="n">
        <v>2021</v>
      </c>
      <c r="F25" s="16" t="n">
        <v>92</v>
      </c>
      <c r="G25" s="13" t="inlineStr">
        <is>
          <t>%</t>
        </is>
      </c>
      <c r="H25" s="15" t="inlineStr">
        <is>
          <t>% of internet users</t>
        </is>
      </c>
      <c r="I25" s="13" t="inlineStr"/>
      <c r="J25" s="14" t="inlineStr">
        <is>
          <t>ES3</t>
        </is>
      </c>
      <c r="K25" s="13" t="inlineStr">
        <is>
          <t>2026-09-12</t>
        </is>
      </c>
      <c r="L25" s="15" t="inlineStr">
        <is>
          <t>Rounded, from a Eurostat news release. See the 2020 note on mixed precision.</t>
        </is>
      </c>
    </row>
    <row r="26">
      <c r="A26" s="13" t="n">
        <v>25</v>
      </c>
      <c r="B26" s="14" t="inlineStr">
        <is>
          <t>EU.ECM.IND.BUY</t>
        </is>
      </c>
      <c r="C26" s="15" t="inlineStr">
        <is>
          <t>Individuals who bought online in last 12 months</t>
        </is>
      </c>
      <c r="D26" s="13" t="inlineStr">
        <is>
          <t>EU27</t>
        </is>
      </c>
      <c r="E26" s="13" t="n">
        <v>2024</v>
      </c>
      <c r="F26" s="16" t="n">
        <v>76.58</v>
      </c>
      <c r="G26" s="13" t="inlineStr">
        <is>
          <t>%</t>
        </is>
      </c>
      <c r="H26" s="15" t="inlineStr">
        <is>
          <t>% of internet users</t>
        </is>
      </c>
      <c r="I26" s="13" t="inlineStr"/>
      <c r="J26" s="14" t="inlineStr">
        <is>
          <t>ES7</t>
        </is>
      </c>
      <c r="K26" s="13" t="inlineStr">
        <is>
          <t>2026-09-12</t>
        </is>
      </c>
      <c r="L26" s="15" t="inlineStr"/>
    </row>
    <row r="27">
      <c r="A27" s="13" t="n">
        <v>26</v>
      </c>
      <c r="B27" s="14" t="inlineStr">
        <is>
          <t>AT.ECM.IND.BUY</t>
        </is>
      </c>
      <c r="C27" s="15" t="inlineStr">
        <is>
          <t>Individuals who bought online in last 12 months</t>
        </is>
      </c>
      <c r="D27" s="13" t="inlineStr">
        <is>
          <t>AT</t>
        </is>
      </c>
      <c r="E27" s="13" t="n">
        <v>2024</v>
      </c>
      <c r="F27" s="16" t="n">
        <v>74.18000000000001</v>
      </c>
      <c r="G27" s="13" t="inlineStr">
        <is>
          <t>%</t>
        </is>
      </c>
      <c r="H27" s="15" t="inlineStr">
        <is>
          <t>% of internet users</t>
        </is>
      </c>
      <c r="I27" s="13" t="inlineStr"/>
      <c r="J27" s="14" t="inlineStr">
        <is>
          <t>ES7</t>
        </is>
      </c>
      <c r="K27" s="13" t="inlineStr">
        <is>
          <t>2026-09-12</t>
        </is>
      </c>
      <c r="L27" s="15" t="inlineStr"/>
    </row>
    <row r="28">
      <c r="A28" s="13" t="n">
        <v>27</v>
      </c>
      <c r="B28" s="14" t="inlineStr">
        <is>
          <t>BE.ECM.IND.BUY</t>
        </is>
      </c>
      <c r="C28" s="15" t="inlineStr">
        <is>
          <t>Individuals who bought online in last 12 months</t>
        </is>
      </c>
      <c r="D28" s="13" t="inlineStr">
        <is>
          <t>BE</t>
        </is>
      </c>
      <c r="E28" s="13" t="n">
        <v>2024</v>
      </c>
      <c r="F28" s="16" t="n">
        <v>78.98</v>
      </c>
      <c r="G28" s="13" t="inlineStr">
        <is>
          <t>%</t>
        </is>
      </c>
      <c r="H28" s="15" t="inlineStr">
        <is>
          <t>% of internet users</t>
        </is>
      </c>
      <c r="I28" s="13" t="inlineStr"/>
      <c r="J28" s="14" t="inlineStr">
        <is>
          <t>ES7</t>
        </is>
      </c>
      <c r="K28" s="13" t="inlineStr">
        <is>
          <t>2026-09-12</t>
        </is>
      </c>
      <c r="L28" s="15" t="inlineStr"/>
    </row>
    <row r="29">
      <c r="A29" s="13" t="n">
        <v>28</v>
      </c>
      <c r="B29" s="14" t="inlineStr">
        <is>
          <t>BG.ECM.IND.BUY</t>
        </is>
      </c>
      <c r="C29" s="15" t="inlineStr">
        <is>
          <t>Individuals who bought online in last 12 months</t>
        </is>
      </c>
      <c r="D29" s="13" t="inlineStr">
        <is>
          <t>BG</t>
        </is>
      </c>
      <c r="E29" s="13" t="n">
        <v>2024</v>
      </c>
      <c r="F29" s="16" t="n">
        <v>57.18</v>
      </c>
      <c r="G29" s="13" t="inlineStr">
        <is>
          <t>%</t>
        </is>
      </c>
      <c r="H29" s="15" t="inlineStr">
        <is>
          <t>% of internet users</t>
        </is>
      </c>
      <c r="I29" s="13" t="inlineStr"/>
      <c r="J29" s="14" t="inlineStr">
        <is>
          <t>ES7</t>
        </is>
      </c>
      <c r="K29" s="13" t="inlineStr">
        <is>
          <t>2026-09-12</t>
        </is>
      </c>
      <c r="L29" s="15" t="inlineStr">
        <is>
          <t>Lowest of the 27, as the press release reported. Supersedes the rounded 57%.</t>
        </is>
      </c>
    </row>
    <row r="30">
      <c r="A30" s="13" t="n">
        <v>29</v>
      </c>
      <c r="B30" s="14" t="inlineStr">
        <is>
          <t>CY.ECM.IND.BUY</t>
        </is>
      </c>
      <c r="C30" s="15" t="inlineStr">
        <is>
          <t>Individuals who bought online in last 12 months</t>
        </is>
      </c>
      <c r="D30" s="13" t="inlineStr">
        <is>
          <t>CY</t>
        </is>
      </c>
      <c r="E30" s="13" t="n">
        <v>2024</v>
      </c>
      <c r="F30" s="16" t="n">
        <v>68.16</v>
      </c>
      <c r="G30" s="13" t="inlineStr">
        <is>
          <t>%</t>
        </is>
      </c>
      <c r="H30" s="15" t="inlineStr">
        <is>
          <t>% of internet users</t>
        </is>
      </c>
      <c r="I30" s="13" t="inlineStr"/>
      <c r="J30" s="14" t="inlineStr">
        <is>
          <t>ES7</t>
        </is>
      </c>
      <c r="K30" s="13" t="inlineStr">
        <is>
          <t>2026-09-12</t>
        </is>
      </c>
      <c r="L30" s="15" t="inlineStr"/>
    </row>
    <row r="31">
      <c r="A31" s="13" t="n">
        <v>30</v>
      </c>
      <c r="B31" s="14" t="inlineStr">
        <is>
          <t>CZ.ECM.IND.BUY</t>
        </is>
      </c>
      <c r="C31" s="15" t="inlineStr">
        <is>
          <t>Individuals who bought online in last 12 months</t>
        </is>
      </c>
      <c r="D31" s="13" t="inlineStr">
        <is>
          <t>CZ</t>
        </is>
      </c>
      <c r="E31" s="13" t="n">
        <v>2024</v>
      </c>
      <c r="F31" s="16" t="n">
        <v>86.20999999999999</v>
      </c>
      <c r="G31" s="13" t="inlineStr">
        <is>
          <t>%</t>
        </is>
      </c>
      <c r="H31" s="15" t="inlineStr">
        <is>
          <t>% of internet users</t>
        </is>
      </c>
      <c r="I31" s="13" t="inlineStr"/>
      <c r="J31" s="14" t="inlineStr">
        <is>
          <t>ES7</t>
        </is>
      </c>
      <c r="K31" s="13" t="inlineStr">
        <is>
          <t>2026-09-12</t>
        </is>
      </c>
      <c r="L31" s="15" t="inlineStr"/>
    </row>
    <row r="32">
      <c r="A32" s="13" t="n">
        <v>31</v>
      </c>
      <c r="B32" s="14" t="inlineStr">
        <is>
          <t>DE.ECM.IND.BUY</t>
        </is>
      </c>
      <c r="C32" s="15" t="inlineStr">
        <is>
          <t>Individuals who bought online in last 12 months</t>
        </is>
      </c>
      <c r="D32" s="13" t="inlineStr">
        <is>
          <t>DE</t>
        </is>
      </c>
      <c r="E32" s="13" t="n">
        <v>2024</v>
      </c>
      <c r="F32" s="16" t="n">
        <v>82.53</v>
      </c>
      <c r="G32" s="13" t="inlineStr">
        <is>
          <t>%</t>
        </is>
      </c>
      <c r="H32" s="15" t="inlineStr">
        <is>
          <t>% of internet users</t>
        </is>
      </c>
      <c r="I32" s="13" t="inlineStr"/>
      <c r="J32" s="14" t="inlineStr">
        <is>
          <t>ES7</t>
        </is>
      </c>
      <c r="K32" s="13" t="inlineStr">
        <is>
          <t>2026-09-12</t>
        </is>
      </c>
      <c r="L32" s="15" t="inlineStr">
        <is>
          <t>Supersedes the rounded 83%.</t>
        </is>
      </c>
    </row>
    <row r="33">
      <c r="A33" s="13" t="n">
        <v>32</v>
      </c>
      <c r="B33" s="14" t="inlineStr">
        <is>
          <t>DK.ECM.IND.BUY</t>
        </is>
      </c>
      <c r="C33" s="15" t="inlineStr">
        <is>
          <t>Individuals who bought online in last 12 months</t>
        </is>
      </c>
      <c r="D33" s="13" t="inlineStr">
        <is>
          <t>DK</t>
        </is>
      </c>
      <c r="E33" s="13" t="n">
        <v>2024</v>
      </c>
      <c r="F33" s="16" t="n">
        <v>90.86</v>
      </c>
      <c r="G33" s="13" t="inlineStr">
        <is>
          <t>%</t>
        </is>
      </c>
      <c r="H33" s="15" t="inlineStr">
        <is>
          <t>% of internet users</t>
        </is>
      </c>
      <c r="I33" s="13" t="inlineStr"/>
      <c r="J33" s="14" t="inlineStr">
        <is>
          <t>ES7</t>
        </is>
      </c>
      <c r="K33" s="13" t="inlineStr">
        <is>
          <t>2026-09-12</t>
        </is>
      </c>
      <c r="L33" s="15" t="inlineStr">
        <is>
          <t>Supersedes the rounded 91% taken from the Eurostat press release.</t>
        </is>
      </c>
    </row>
    <row r="34">
      <c r="A34" s="13" t="n">
        <v>33</v>
      </c>
      <c r="B34" s="14" t="inlineStr">
        <is>
          <t>EE.ECM.IND.BUY</t>
        </is>
      </c>
      <c r="C34" s="15" t="inlineStr">
        <is>
          <t>Individuals who bought online in last 12 months</t>
        </is>
      </c>
      <c r="D34" s="13" t="inlineStr">
        <is>
          <t>EE</t>
        </is>
      </c>
      <c r="E34" s="13" t="n">
        <v>2024</v>
      </c>
      <c r="F34" s="16" t="n">
        <v>78.72</v>
      </c>
      <c r="G34" s="13" t="inlineStr">
        <is>
          <t>%</t>
        </is>
      </c>
      <c r="H34" s="15" t="inlineStr">
        <is>
          <t>% of internet users</t>
        </is>
      </c>
      <c r="I34" s="13" t="inlineStr"/>
      <c r="J34" s="14" t="inlineStr">
        <is>
          <t>ES7</t>
        </is>
      </c>
      <c r="K34" s="13" t="inlineStr">
        <is>
          <t>2026-09-12</t>
        </is>
      </c>
      <c r="L34" s="15" t="inlineStr"/>
    </row>
    <row r="35">
      <c r="A35" s="13" t="n">
        <v>34</v>
      </c>
      <c r="B35" s="14" t="inlineStr">
        <is>
          <t>EL.ECM.IND.BUY</t>
        </is>
      </c>
      <c r="C35" s="15" t="inlineStr">
        <is>
          <t>Individuals who bought online in last 12 months</t>
        </is>
      </c>
      <c r="D35" s="13" t="inlineStr">
        <is>
          <t>EL</t>
        </is>
      </c>
      <c r="E35" s="13" t="n">
        <v>2024</v>
      </c>
      <c r="F35" s="16" t="n">
        <v>74.66</v>
      </c>
      <c r="G35" s="13" t="inlineStr">
        <is>
          <t>%</t>
        </is>
      </c>
      <c r="H35" s="15" t="inlineStr">
        <is>
          <t>% of internet users</t>
        </is>
      </c>
      <c r="I35" s="13" t="inlineStr"/>
      <c r="J35" s="14" t="inlineStr">
        <is>
          <t>ES7</t>
        </is>
      </c>
      <c r="K35" s="13" t="inlineStr">
        <is>
          <t>2026-09-12</t>
        </is>
      </c>
      <c r="L35" s="15" t="inlineStr"/>
    </row>
    <row r="36">
      <c r="A36" s="13" t="n">
        <v>35</v>
      </c>
      <c r="B36" s="14" t="inlineStr">
        <is>
          <t>ES.ECM.IND.BUY</t>
        </is>
      </c>
      <c r="C36" s="15" t="inlineStr">
        <is>
          <t>Individuals who bought online in last 12 months</t>
        </is>
      </c>
      <c r="D36" s="13" t="inlineStr">
        <is>
          <t>ES</t>
        </is>
      </c>
      <c r="E36" s="13" t="n">
        <v>2024</v>
      </c>
      <c r="F36" s="16" t="n">
        <v>71.54000000000001</v>
      </c>
      <c r="G36" s="13" t="inlineStr">
        <is>
          <t>%</t>
        </is>
      </c>
      <c r="H36" s="15" t="inlineStr">
        <is>
          <t>% of internet users</t>
        </is>
      </c>
      <c r="I36" s="13" t="inlineStr"/>
      <c r="J36" s="14" t="inlineStr">
        <is>
          <t>ES7</t>
        </is>
      </c>
      <c r="K36" s="13" t="inlineStr">
        <is>
          <t>2026-09-12</t>
        </is>
      </c>
      <c r="L36" s="15" t="inlineStr"/>
    </row>
    <row r="37">
      <c r="A37" s="13" t="n">
        <v>36</v>
      </c>
      <c r="B37" s="14" t="inlineStr">
        <is>
          <t>FI.ECM.IND.BUY</t>
        </is>
      </c>
      <c r="C37" s="15" t="inlineStr">
        <is>
          <t>Individuals who bought online in last 12 months</t>
        </is>
      </c>
      <c r="D37" s="13" t="inlineStr">
        <is>
          <t>FI</t>
        </is>
      </c>
      <c r="E37" s="13" t="n">
        <v>2024</v>
      </c>
      <c r="F37" s="16" t="n">
        <v>80.40000000000001</v>
      </c>
      <c r="G37" s="13" t="inlineStr">
        <is>
          <t>%</t>
        </is>
      </c>
      <c r="H37" s="15" t="inlineStr">
        <is>
          <t>% of internet users</t>
        </is>
      </c>
      <c r="I37" s="13" t="inlineStr"/>
      <c r="J37" s="14" t="inlineStr">
        <is>
          <t>ES7</t>
        </is>
      </c>
      <c r="K37" s="13" t="inlineStr">
        <is>
          <t>2026-09-12</t>
        </is>
      </c>
      <c r="L37" s="15" t="inlineStr"/>
    </row>
    <row r="38">
      <c r="A38" s="13" t="n">
        <v>37</v>
      </c>
      <c r="B38" s="14" t="inlineStr">
        <is>
          <t>FR.ECM.IND.BUY</t>
        </is>
      </c>
      <c r="C38" s="15" t="inlineStr">
        <is>
          <t>Individuals who bought online in last 12 months</t>
        </is>
      </c>
      <c r="D38" s="13" t="inlineStr">
        <is>
          <t>FR</t>
        </is>
      </c>
      <c r="E38" s="13" t="n">
        <v>2024</v>
      </c>
      <c r="F38" s="16" t="n">
        <v>84.37</v>
      </c>
      <c r="G38" s="13" t="inlineStr">
        <is>
          <t>%</t>
        </is>
      </c>
      <c r="H38" s="15" t="inlineStr">
        <is>
          <t>% of internet users</t>
        </is>
      </c>
      <c r="I38" s="13" t="inlineStr"/>
      <c r="J38" s="14" t="inlineStr">
        <is>
          <t>ES7</t>
        </is>
      </c>
      <c r="K38" s="13" t="inlineStr">
        <is>
          <t>2026-09-12</t>
        </is>
      </c>
      <c r="L38" s="15" t="inlineStr"/>
    </row>
    <row r="39">
      <c r="A39" s="13" t="n">
        <v>38</v>
      </c>
      <c r="B39" s="14" t="inlineStr">
        <is>
          <t>HR.ECM.IND.BUY</t>
        </is>
      </c>
      <c r="C39" s="15" t="inlineStr">
        <is>
          <t>Individuals who bought online in last 12 months</t>
        </is>
      </c>
      <c r="D39" s="13" t="inlineStr">
        <is>
          <t>HR</t>
        </is>
      </c>
      <c r="E39" s="13" t="n">
        <v>2024</v>
      </c>
      <c r="F39" s="16" t="n">
        <v>70.06999999999999</v>
      </c>
      <c r="G39" s="13" t="inlineStr">
        <is>
          <t>%</t>
        </is>
      </c>
      <c r="H39" s="15" t="inlineStr">
        <is>
          <t>% of internet users</t>
        </is>
      </c>
      <c r="I39" s="13" t="inlineStr"/>
      <c r="J39" s="14" t="inlineStr">
        <is>
          <t>ES7</t>
        </is>
      </c>
      <c r="K39" s="13" t="inlineStr">
        <is>
          <t>2026-09-12</t>
        </is>
      </c>
      <c r="L39" s="15" t="inlineStr"/>
    </row>
    <row r="40">
      <c r="A40" s="13" t="n">
        <v>39</v>
      </c>
      <c r="B40" s="14" t="inlineStr">
        <is>
          <t>HU.ECM.IND.BUY</t>
        </is>
      </c>
      <c r="C40" s="15" t="inlineStr">
        <is>
          <t>Individuals who bought online in last 12 months</t>
        </is>
      </c>
      <c r="D40" s="13" t="inlineStr">
        <is>
          <t>HU</t>
        </is>
      </c>
      <c r="E40" s="13" t="n">
        <v>2024</v>
      </c>
      <c r="F40" s="16" t="n">
        <v>78.87</v>
      </c>
      <c r="G40" s="13" t="inlineStr">
        <is>
          <t>%</t>
        </is>
      </c>
      <c r="H40" s="15" t="inlineStr">
        <is>
          <t>% of internet users</t>
        </is>
      </c>
      <c r="I40" s="13" t="inlineStr"/>
      <c r="J40" s="14" t="inlineStr">
        <is>
          <t>ES7</t>
        </is>
      </c>
      <c r="K40" s="13" t="inlineStr">
        <is>
          <t>2026-09-12</t>
        </is>
      </c>
      <c r="L40" s="15" t="inlineStr">
        <is>
          <t>Supersedes the rounded 79%.</t>
        </is>
      </c>
    </row>
    <row r="41">
      <c r="A41" s="13" t="n">
        <v>40</v>
      </c>
      <c r="B41" s="14" t="inlineStr">
        <is>
          <t>IE.ECM.IND.BUY</t>
        </is>
      </c>
      <c r="C41" s="15" t="inlineStr">
        <is>
          <t>Individuals who bought online in last 12 months</t>
        </is>
      </c>
      <c r="D41" s="13" t="inlineStr">
        <is>
          <t>IE</t>
        </is>
      </c>
      <c r="E41" s="13" t="n">
        <v>2024</v>
      </c>
      <c r="F41" s="16" t="n">
        <v>95.79000000000001</v>
      </c>
      <c r="G41" s="13" t="inlineStr">
        <is>
          <t>%</t>
        </is>
      </c>
      <c r="H41" s="15" t="inlineStr">
        <is>
          <t>% of internet users</t>
        </is>
      </c>
      <c r="I41" s="13" t="inlineStr"/>
      <c r="J41" s="14" t="inlineStr">
        <is>
          <t>ES7</t>
        </is>
      </c>
      <c r="K41" s="13" t="inlineStr">
        <is>
          <t>2026-09-12</t>
        </is>
      </c>
      <c r="L41" s="15" t="inlineStr">
        <is>
          <t>Highest in EU. Supersedes the rounded 96%.</t>
        </is>
      </c>
    </row>
    <row r="42">
      <c r="A42" s="13" t="n">
        <v>41</v>
      </c>
      <c r="B42" s="14" t="inlineStr">
        <is>
          <t>IT.ECM.IND.BUY</t>
        </is>
      </c>
      <c r="C42" s="15" t="inlineStr">
        <is>
          <t>Individuals who bought online in last 12 months</t>
        </is>
      </c>
      <c r="D42" s="13" t="inlineStr">
        <is>
          <t>IT</t>
        </is>
      </c>
      <c r="E42" s="13" t="n">
        <v>2024</v>
      </c>
      <c r="F42" s="16" t="n">
        <v>59.6</v>
      </c>
      <c r="G42" s="13" t="inlineStr">
        <is>
          <t>%</t>
        </is>
      </c>
      <c r="H42" s="15" t="inlineStr">
        <is>
          <t>% of internet users</t>
        </is>
      </c>
      <c r="I42" s="13" t="inlineStr"/>
      <c r="J42" s="14" t="inlineStr">
        <is>
          <t>ES7</t>
        </is>
      </c>
      <c r="K42" s="13" t="inlineStr">
        <is>
          <t>2026-09-12</t>
        </is>
      </c>
      <c r="L42" s="15" t="inlineStr">
        <is>
          <t>Second lowest of the 27. Supersedes the rounded 60%, which tied Italy with Romania; unrounded Italy is below Romania, so they are not tied.</t>
        </is>
      </c>
    </row>
    <row r="43">
      <c r="A43" s="13" t="n">
        <v>42</v>
      </c>
      <c r="B43" s="14" t="inlineStr">
        <is>
          <t>LT.ECM.IND.BUY</t>
        </is>
      </c>
      <c r="C43" s="15" t="inlineStr">
        <is>
          <t>Individuals who bought online in last 12 months</t>
        </is>
      </c>
      <c r="D43" s="13" t="inlineStr">
        <is>
          <t>LT</t>
        </is>
      </c>
      <c r="E43" s="13" t="n">
        <v>2024</v>
      </c>
      <c r="F43" s="16" t="n">
        <v>71.95999999999999</v>
      </c>
      <c r="G43" s="13" t="inlineStr">
        <is>
          <t>%</t>
        </is>
      </c>
      <c r="H43" s="15" t="inlineStr">
        <is>
          <t>% of internet users</t>
        </is>
      </c>
      <c r="I43" s="13" t="inlineStr"/>
      <c r="J43" s="14" t="inlineStr">
        <is>
          <t>ES7</t>
        </is>
      </c>
      <c r="K43" s="13" t="inlineStr">
        <is>
          <t>2026-09-12</t>
        </is>
      </c>
      <c r="L43" s="15" t="inlineStr">
        <is>
          <t>Supersedes the rounded 72%.</t>
        </is>
      </c>
    </row>
    <row r="44">
      <c r="A44" s="13" t="n">
        <v>43</v>
      </c>
      <c r="B44" s="14" t="inlineStr">
        <is>
          <t>LU.ECM.IND.BUY</t>
        </is>
      </c>
      <c r="C44" s="15" t="inlineStr">
        <is>
          <t>Individuals who bought online in last 12 months</t>
        </is>
      </c>
      <c r="D44" s="13" t="inlineStr">
        <is>
          <t>LU</t>
        </is>
      </c>
      <c r="E44" s="13" t="n">
        <v>2024</v>
      </c>
      <c r="F44" s="16" t="n">
        <v>81.34</v>
      </c>
      <c r="G44" s="13" t="inlineStr">
        <is>
          <t>%</t>
        </is>
      </c>
      <c r="H44" s="15" t="inlineStr">
        <is>
          <t>% of internet users</t>
        </is>
      </c>
      <c r="I44" s="13" t="inlineStr"/>
      <c r="J44" s="14" t="inlineStr">
        <is>
          <t>ES7</t>
        </is>
      </c>
      <c r="K44" s="13" t="inlineStr">
        <is>
          <t>2026-09-12</t>
        </is>
      </c>
      <c r="L44" s="15" t="inlineStr"/>
    </row>
    <row r="45">
      <c r="A45" s="13" t="n">
        <v>44</v>
      </c>
      <c r="B45" s="14" t="inlineStr">
        <is>
          <t>LV.ECM.IND.BUY</t>
        </is>
      </c>
      <c r="C45" s="15" t="inlineStr">
        <is>
          <t>Individuals who bought online in last 12 months</t>
        </is>
      </c>
      <c r="D45" s="13" t="inlineStr">
        <is>
          <t>LV</t>
        </is>
      </c>
      <c r="E45" s="13" t="n">
        <v>2024</v>
      </c>
      <c r="F45" s="16" t="n">
        <v>69.34999999999999</v>
      </c>
      <c r="G45" s="13" t="inlineStr">
        <is>
          <t>%</t>
        </is>
      </c>
      <c r="H45" s="15" t="inlineStr">
        <is>
          <t>% of internet users</t>
        </is>
      </c>
      <c r="I45" s="13" t="inlineStr"/>
      <c r="J45" s="14" t="inlineStr">
        <is>
          <t>ES7</t>
        </is>
      </c>
      <c r="K45" s="13" t="inlineStr">
        <is>
          <t>2026-09-12</t>
        </is>
      </c>
      <c r="L45" s="15" t="inlineStr"/>
    </row>
    <row r="46">
      <c r="A46" s="13" t="n">
        <v>45</v>
      </c>
      <c r="B46" s="14" t="inlineStr">
        <is>
          <t>MT.ECM.IND.BUY</t>
        </is>
      </c>
      <c r="C46" s="15" t="inlineStr">
        <is>
          <t>Individuals who bought online in last 12 months</t>
        </is>
      </c>
      <c r="D46" s="13" t="inlineStr">
        <is>
          <t>MT</t>
        </is>
      </c>
      <c r="E46" s="13" t="n">
        <v>2024</v>
      </c>
      <c r="F46" s="16" t="n">
        <v>73.2</v>
      </c>
      <c r="G46" s="13" t="inlineStr">
        <is>
          <t>%</t>
        </is>
      </c>
      <c r="H46" s="15" t="inlineStr">
        <is>
          <t>% of internet users</t>
        </is>
      </c>
      <c r="I46" s="13" t="inlineStr"/>
      <c r="J46" s="14" t="inlineStr">
        <is>
          <t>ES7</t>
        </is>
      </c>
      <c r="K46" s="13" t="inlineStr">
        <is>
          <t>2026-09-12</t>
        </is>
      </c>
      <c r="L46" s="15" t="inlineStr"/>
    </row>
    <row r="47">
      <c r="A47" s="13" t="n">
        <v>46</v>
      </c>
      <c r="B47" s="14" t="inlineStr">
        <is>
          <t>NL.ECM.IND.BUY</t>
        </is>
      </c>
      <c r="C47" s="15" t="inlineStr">
        <is>
          <t>Individuals who bought online in last 12 months</t>
        </is>
      </c>
      <c r="D47" s="13" t="inlineStr">
        <is>
          <t>NL</t>
        </is>
      </c>
      <c r="E47" s="13" t="n">
        <v>2024</v>
      </c>
      <c r="F47" s="16" t="n">
        <v>94.42</v>
      </c>
      <c r="G47" s="13" t="inlineStr">
        <is>
          <t>%</t>
        </is>
      </c>
      <c r="H47" s="15" t="inlineStr">
        <is>
          <t>% of internet users</t>
        </is>
      </c>
      <c r="I47" s="13" t="inlineStr"/>
      <c r="J47" s="14" t="inlineStr">
        <is>
          <t>ES7</t>
        </is>
      </c>
      <c r="K47" s="13" t="inlineStr">
        <is>
          <t>2026-09-12</t>
        </is>
      </c>
      <c r="L47" s="15" t="inlineStr">
        <is>
          <t>Supersedes the rounded 94%.</t>
        </is>
      </c>
    </row>
    <row r="48">
      <c r="A48" s="13" t="n">
        <v>47</v>
      </c>
      <c r="B48" s="14" t="inlineStr">
        <is>
          <t>PL.ECM.IND.BUY</t>
        </is>
      </c>
      <c r="C48" s="15" t="inlineStr">
        <is>
          <t>Individuals who bought online in last 12 months</t>
        </is>
      </c>
      <c r="D48" s="13" t="inlineStr">
        <is>
          <t>PL</t>
        </is>
      </c>
      <c r="E48" s="13" t="n">
        <v>2024</v>
      </c>
      <c r="F48" s="16" t="n">
        <v>75.06999999999999</v>
      </c>
      <c r="G48" s="13" t="inlineStr">
        <is>
          <t>%</t>
        </is>
      </c>
      <c r="H48" s="15" t="inlineStr">
        <is>
          <t>% of internet users</t>
        </is>
      </c>
      <c r="I48" s="13" t="inlineStr"/>
      <c r="J48" s="14" t="inlineStr">
        <is>
          <t>ES7</t>
        </is>
      </c>
      <c r="K48" s="13" t="inlineStr">
        <is>
          <t>2026-09-12</t>
        </is>
      </c>
      <c r="L48" s="15" t="inlineStr"/>
    </row>
    <row r="49">
      <c r="A49" s="13" t="n">
        <v>48</v>
      </c>
      <c r="B49" s="14" t="inlineStr">
        <is>
          <t>PT.ECM.IND.BUY</t>
        </is>
      </c>
      <c r="C49" s="15" t="inlineStr">
        <is>
          <t>Individuals who bought online in last 12 months</t>
        </is>
      </c>
      <c r="D49" s="13" t="inlineStr">
        <is>
          <t>PT</t>
        </is>
      </c>
      <c r="E49" s="13" t="n">
        <v>2024</v>
      </c>
      <c r="F49" s="16" t="n">
        <v>66.64</v>
      </c>
      <c r="G49" s="13" t="inlineStr">
        <is>
          <t>%</t>
        </is>
      </c>
      <c r="H49" s="15" t="inlineStr">
        <is>
          <t>% of internet users</t>
        </is>
      </c>
      <c r="I49" s="13" t="inlineStr"/>
      <c r="J49" s="14" t="inlineStr">
        <is>
          <t>ES7</t>
        </is>
      </c>
      <c r="K49" s="13" t="inlineStr">
        <is>
          <t>2026-09-12</t>
        </is>
      </c>
      <c r="L49" s="15" t="inlineStr"/>
    </row>
    <row r="50">
      <c r="A50" s="13" t="n">
        <v>49</v>
      </c>
      <c r="B50" s="14" t="inlineStr">
        <is>
          <t>RO.ECM.IND.BUY</t>
        </is>
      </c>
      <c r="C50" s="15" t="inlineStr">
        <is>
          <t>Individuals who bought online in last 12 months</t>
        </is>
      </c>
      <c r="D50" s="13" t="inlineStr">
        <is>
          <t>RO</t>
        </is>
      </c>
      <c r="E50" s="13" t="n">
        <v>2024</v>
      </c>
      <c r="F50" s="16" t="n">
        <v>59.73</v>
      </c>
      <c r="G50" s="13" t="inlineStr">
        <is>
          <t>%</t>
        </is>
      </c>
      <c r="H50" s="15" t="inlineStr">
        <is>
          <t>% of internet users</t>
        </is>
      </c>
      <c r="I50" s="13" t="inlineStr"/>
      <c r="J50" s="14" t="inlineStr">
        <is>
          <t>ES7</t>
        </is>
      </c>
      <c r="K50" s="13" t="inlineStr">
        <is>
          <t>2026-09-12</t>
        </is>
      </c>
      <c r="L50" s="15" t="inlineStr">
        <is>
          <t>Supersedes the rounded 60%. See the Italy note on the tie.</t>
        </is>
      </c>
    </row>
    <row r="51">
      <c r="A51" s="13" t="n">
        <v>50</v>
      </c>
      <c r="B51" s="14" t="inlineStr">
        <is>
          <t>SE.ECM.IND.BUY</t>
        </is>
      </c>
      <c r="C51" s="15" t="inlineStr">
        <is>
          <t>Individuals who bought online in last 12 months</t>
        </is>
      </c>
      <c r="D51" s="13" t="inlineStr">
        <is>
          <t>SE</t>
        </is>
      </c>
      <c r="E51" s="13" t="n">
        <v>2024</v>
      </c>
      <c r="F51" s="16" t="n">
        <v>89.89</v>
      </c>
      <c r="G51" s="13" t="inlineStr">
        <is>
          <t>%</t>
        </is>
      </c>
      <c r="H51" s="15" t="inlineStr">
        <is>
          <t>% of internet users</t>
        </is>
      </c>
      <c r="I51" s="13" t="inlineStr"/>
      <c r="J51" s="14" t="inlineStr">
        <is>
          <t>ES7</t>
        </is>
      </c>
      <c r="K51" s="13" t="inlineStr">
        <is>
          <t>2026-09-12</t>
        </is>
      </c>
      <c r="L51" s="15" t="inlineStr"/>
    </row>
    <row r="52">
      <c r="A52" s="13" t="n">
        <v>51</v>
      </c>
      <c r="B52" s="14" t="inlineStr">
        <is>
          <t>SI.ECM.IND.BUY</t>
        </is>
      </c>
      <c r="C52" s="15" t="inlineStr">
        <is>
          <t>Individuals who bought online in last 12 months</t>
        </is>
      </c>
      <c r="D52" s="13" t="inlineStr">
        <is>
          <t>SI</t>
        </is>
      </c>
      <c r="E52" s="13" t="n">
        <v>2024</v>
      </c>
      <c r="F52" s="16" t="n">
        <v>72.39</v>
      </c>
      <c r="G52" s="13" t="inlineStr">
        <is>
          <t>%</t>
        </is>
      </c>
      <c r="H52" s="15" t="inlineStr">
        <is>
          <t>% of internet users</t>
        </is>
      </c>
      <c r="I52" s="13" t="inlineStr"/>
      <c r="J52" s="14" t="inlineStr">
        <is>
          <t>ES7</t>
        </is>
      </c>
      <c r="K52" s="13" t="inlineStr">
        <is>
          <t>2026-09-12</t>
        </is>
      </c>
      <c r="L52" s="15" t="inlineStr"/>
    </row>
    <row r="53">
      <c r="A53" s="13" t="n">
        <v>52</v>
      </c>
      <c r="B53" s="14" t="inlineStr">
        <is>
          <t>SK.ECM.IND.BUY</t>
        </is>
      </c>
      <c r="C53" s="15" t="inlineStr">
        <is>
          <t>Individuals who bought online in last 12 months</t>
        </is>
      </c>
      <c r="D53" s="13" t="inlineStr">
        <is>
          <t>SK</t>
        </is>
      </c>
      <c r="E53" s="13" t="n">
        <v>2024</v>
      </c>
      <c r="F53" s="16" t="n">
        <v>85.13</v>
      </c>
      <c r="G53" s="13" t="inlineStr">
        <is>
          <t>%</t>
        </is>
      </c>
      <c r="H53" s="15" t="inlineStr">
        <is>
          <t>% of internet users</t>
        </is>
      </c>
      <c r="I53" s="13" t="inlineStr"/>
      <c r="J53" s="14" t="inlineStr">
        <is>
          <t>ES7</t>
        </is>
      </c>
      <c r="K53" s="13" t="inlineStr">
        <is>
          <t>2026-09-12</t>
        </is>
      </c>
      <c r="L53" s="15" t="inlineStr"/>
    </row>
    <row r="54">
      <c r="A54" s="13" t="n">
        <v>53</v>
      </c>
      <c r="B54" s="14" t="inlineStr">
        <is>
          <t>EU.ECM.IND.BUY</t>
        </is>
      </c>
      <c r="C54" s="15" t="inlineStr">
        <is>
          <t>Individuals who bought online in last 12 months</t>
        </is>
      </c>
      <c r="D54" s="13" t="inlineStr">
        <is>
          <t>EU27</t>
        </is>
      </c>
      <c r="E54" s="13" t="n">
        <v>2014</v>
      </c>
      <c r="F54" s="16" t="n">
        <v>59</v>
      </c>
      <c r="G54" s="13" t="inlineStr">
        <is>
          <t>%</t>
        </is>
      </c>
      <c r="H54" s="15" t="inlineStr">
        <is>
          <t>% of internet users</t>
        </is>
      </c>
      <c r="I54" s="13" t="inlineStr"/>
      <c r="J54" s="14" t="inlineStr">
        <is>
          <t>ES4</t>
        </is>
      </c>
      <c r="K54" s="13" t="inlineStr">
        <is>
          <t>2026-09-12</t>
        </is>
      </c>
      <c r="L54" s="15" t="inlineStr"/>
    </row>
    <row r="55">
      <c r="A55" s="13" t="n">
        <v>54</v>
      </c>
      <c r="B55" s="14" t="inlineStr">
        <is>
          <t>DK.ECM.ENT.TRN</t>
        </is>
      </c>
      <c r="C55" s="15" t="inlineStr">
        <is>
          <t>E-sales as share of enterprise turnover</t>
        </is>
      </c>
      <c r="D55" s="13" t="inlineStr">
        <is>
          <t>DK</t>
        </is>
      </c>
      <c r="E55" s="13" t="n">
        <v>2014</v>
      </c>
      <c r="F55" s="16" t="n">
        <v>17.05</v>
      </c>
      <c r="G55" s="13" t="inlineStr">
        <is>
          <t>%</t>
        </is>
      </c>
      <c r="H55" s="15" t="inlineStr">
        <is>
          <t>% of total enterprise turnover</t>
        </is>
      </c>
      <c r="I55" s="13" t="inlineStr"/>
      <c r="J55" s="14" t="inlineStr">
        <is>
          <t>ES5</t>
        </is>
      </c>
      <c r="K55" s="13" t="inlineStr">
        <is>
          <t>2026-09-12</t>
        </is>
      </c>
      <c r="L55" s="15" t="inlineStr"/>
    </row>
    <row r="56">
      <c r="A56" s="13" t="n">
        <v>55</v>
      </c>
      <c r="B56" s="14" t="inlineStr">
        <is>
          <t>DK.ECM.ENT.TRN</t>
        </is>
      </c>
      <c r="C56" s="15" t="inlineStr">
        <is>
          <t>E-sales as share of enterprise turnover</t>
        </is>
      </c>
      <c r="D56" s="13" t="inlineStr">
        <is>
          <t>DK</t>
        </is>
      </c>
      <c r="E56" s="13" t="n">
        <v>2024</v>
      </c>
      <c r="F56" s="16" t="n">
        <v>33.31</v>
      </c>
      <c r="G56" s="13" t="inlineStr">
        <is>
          <t>%</t>
        </is>
      </c>
      <c r="H56" s="15" t="inlineStr">
        <is>
          <t>% of total enterprise turnover</t>
        </is>
      </c>
      <c r="I56" s="13" t="inlineStr"/>
      <c r="J56" s="14" t="inlineStr">
        <is>
          <t>ES5</t>
        </is>
      </c>
      <c r="K56" s="13" t="inlineStr">
        <is>
          <t>2026-09-12</t>
        </is>
      </c>
      <c r="L56" s="15" t="inlineStr">
        <is>
          <t>2nd in EU after Ireland.</t>
        </is>
      </c>
    </row>
    <row r="57">
      <c r="A57" s="13" t="n">
        <v>56</v>
      </c>
      <c r="B57" s="14" t="inlineStr">
        <is>
          <t>EU.ECM.ENT.TRN</t>
        </is>
      </c>
      <c r="C57" s="15" t="inlineStr">
        <is>
          <t>E-sales as share of enterprise turnover</t>
        </is>
      </c>
      <c r="D57" s="13" t="inlineStr">
        <is>
          <t>EU27</t>
        </is>
      </c>
      <c r="E57" s="13" t="n">
        <v>2014</v>
      </c>
      <c r="F57" s="16" t="n">
        <v>16.43</v>
      </c>
      <c r="G57" s="13" t="inlineStr">
        <is>
          <t>%</t>
        </is>
      </c>
      <c r="H57" s="15" t="inlineStr">
        <is>
          <t>% of total enterprise turnover</t>
        </is>
      </c>
      <c r="I57" s="13" t="inlineStr"/>
      <c r="J57" s="14" t="inlineStr">
        <is>
          <t>ES5</t>
        </is>
      </c>
      <c r="K57" s="13" t="inlineStr">
        <is>
          <t>2026-09-12</t>
        </is>
      </c>
      <c r="L57" s="15" t="inlineStr"/>
    </row>
    <row r="58">
      <c r="A58" s="13" t="n">
        <v>57</v>
      </c>
      <c r="B58" s="14" t="inlineStr">
        <is>
          <t>EU.ECM.ENT.TRN</t>
        </is>
      </c>
      <c r="C58" s="15" t="inlineStr">
        <is>
          <t>E-sales as share of enterprise turnover</t>
        </is>
      </c>
      <c r="D58" s="13" t="inlineStr">
        <is>
          <t>EU27</t>
        </is>
      </c>
      <c r="E58" s="13" t="n">
        <v>2024</v>
      </c>
      <c r="F58" s="16" t="n">
        <v>19.49</v>
      </c>
      <c r="G58" s="13" t="inlineStr">
        <is>
          <t>%</t>
        </is>
      </c>
      <c r="H58" s="15" t="inlineStr">
        <is>
          <t>% of total enterprise turnover</t>
        </is>
      </c>
      <c r="I58" s="13" t="inlineStr"/>
      <c r="J58" s="14" t="inlineStr">
        <is>
          <t>ES5</t>
        </is>
      </c>
      <c r="K58" s="13" t="inlineStr">
        <is>
          <t>2026-09-12</t>
        </is>
      </c>
      <c r="L58" s="15" t="inlineStr"/>
    </row>
    <row r="59">
      <c r="A59" s="13" t="n">
        <v>58</v>
      </c>
      <c r="B59" s="14" t="inlineStr">
        <is>
          <t>IE.ECM.ENT.TRN</t>
        </is>
      </c>
      <c r="C59" s="15" t="inlineStr">
        <is>
          <t>E-sales as share of enterprise turnover</t>
        </is>
      </c>
      <c r="D59" s="13" t="inlineStr">
        <is>
          <t>IE</t>
        </is>
      </c>
      <c r="E59" s="13" t="n">
        <v>2024</v>
      </c>
      <c r="F59" s="16" t="n">
        <v>38.25</v>
      </c>
      <c r="G59" s="13" t="inlineStr">
        <is>
          <t>%</t>
        </is>
      </c>
      <c r="H59" s="15" t="inlineStr">
        <is>
          <t>% of total enterprise turnover</t>
        </is>
      </c>
      <c r="I59" s="13" t="inlineStr"/>
      <c r="J59" s="14" t="inlineStr">
        <is>
          <t>ES5</t>
        </is>
      </c>
      <c r="K59" s="13" t="inlineStr">
        <is>
          <t>2026-09-12</t>
        </is>
      </c>
      <c r="L59" s="15" t="inlineStr">
        <is>
          <t>Highest in EU.</t>
        </is>
      </c>
    </row>
    <row r="60">
      <c r="A60" s="18" t="n">
        <v>59</v>
      </c>
      <c r="B60" s="19" t="inlineStr">
        <is>
          <t>BE.ECM.ENT.TRN</t>
        </is>
      </c>
      <c r="C60" s="20" t="inlineStr">
        <is>
          <t>E-sales as share of enterprise turnover</t>
        </is>
      </c>
      <c r="D60" s="18" t="inlineStr">
        <is>
          <t>BE</t>
        </is>
      </c>
      <c r="E60" s="18" t="n">
        <v>2024</v>
      </c>
      <c r="F60" s="22" t="n">
        <v>29.51</v>
      </c>
      <c r="G60" s="18" t="inlineStr">
        <is>
          <t>%</t>
        </is>
      </c>
      <c r="H60" s="20" t="inlineStr">
        <is>
          <t>% of total enterprise turnover</t>
        </is>
      </c>
      <c r="I60" s="18" t="inlineStr">
        <is>
          <t>u</t>
        </is>
      </c>
      <c r="J60" s="19" t="inlineStr">
        <is>
          <t>ES6</t>
        </is>
      </c>
      <c r="K60" s="18" t="inlineStr">
        <is>
          <t>2026-09-12</t>
        </is>
      </c>
      <c r="L60" s="20" t="inlineStr"/>
    </row>
    <row r="61">
      <c r="A61" s="18" t="n">
        <v>60</v>
      </c>
      <c r="B61" s="19" t="inlineStr">
        <is>
          <t>SE.ECM.ENT.TRN</t>
        </is>
      </c>
      <c r="C61" s="20" t="inlineStr">
        <is>
          <t>E-sales as share of enterprise turnover</t>
        </is>
      </c>
      <c r="D61" s="18" t="inlineStr">
        <is>
          <t>SE</t>
        </is>
      </c>
      <c r="E61" s="18" t="n">
        <v>2024</v>
      </c>
      <c r="F61" s="22" t="n">
        <v>26.32</v>
      </c>
      <c r="G61" s="18" t="inlineStr">
        <is>
          <t>%</t>
        </is>
      </c>
      <c r="H61" s="20" t="inlineStr">
        <is>
          <t>% of total enterprise turnover</t>
        </is>
      </c>
      <c r="I61" s="18" t="inlineStr">
        <is>
          <t>u</t>
        </is>
      </c>
      <c r="J61" s="19" t="inlineStr">
        <is>
          <t>ES6</t>
        </is>
      </c>
      <c r="K61" s="18" t="inlineStr">
        <is>
          <t>2026-09-12</t>
        </is>
      </c>
      <c r="L61" s="20" t="inlineStr"/>
    </row>
    <row r="62">
      <c r="A62" s="18" t="n">
        <v>61</v>
      </c>
      <c r="B62" s="19" t="inlineStr">
        <is>
          <t>CZ.ECM.ENT.TRN</t>
        </is>
      </c>
      <c r="C62" s="20" t="inlineStr">
        <is>
          <t>E-sales as share of enterprise turnover</t>
        </is>
      </c>
      <c r="D62" s="18" t="inlineStr">
        <is>
          <t>CZ</t>
        </is>
      </c>
      <c r="E62" s="18" t="n">
        <v>2024</v>
      </c>
      <c r="F62" s="22" t="n">
        <v>25.65</v>
      </c>
      <c r="G62" s="18" t="inlineStr">
        <is>
          <t>%</t>
        </is>
      </c>
      <c r="H62" s="20" t="inlineStr">
        <is>
          <t>% of total enterprise turnover</t>
        </is>
      </c>
      <c r="I62" s="18" t="inlineStr">
        <is>
          <t>u</t>
        </is>
      </c>
      <c r="J62" s="19" t="inlineStr">
        <is>
          <t>ES6</t>
        </is>
      </c>
      <c r="K62" s="18" t="inlineStr">
        <is>
          <t>2026-09-12</t>
        </is>
      </c>
      <c r="L62" s="20" t="inlineStr"/>
    </row>
    <row r="63">
      <c r="A63" s="18" t="n">
        <v>62</v>
      </c>
      <c r="B63" s="19" t="inlineStr">
        <is>
          <t>LU.ECM.ENT.TRN</t>
        </is>
      </c>
      <c r="C63" s="20" t="inlineStr">
        <is>
          <t>E-sales as share of enterprise turnover</t>
        </is>
      </c>
      <c r="D63" s="18" t="inlineStr">
        <is>
          <t>LU</t>
        </is>
      </c>
      <c r="E63" s="18" t="n">
        <v>2024</v>
      </c>
      <c r="F63" s="22" t="n">
        <v>23.86</v>
      </c>
      <c r="G63" s="18" t="inlineStr">
        <is>
          <t>%</t>
        </is>
      </c>
      <c r="H63" s="20" t="inlineStr">
        <is>
          <t>% of total enterprise turnover</t>
        </is>
      </c>
      <c r="I63" s="18" t="inlineStr">
        <is>
          <t>u</t>
        </is>
      </c>
      <c r="J63" s="19" t="inlineStr">
        <is>
          <t>ES6</t>
        </is>
      </c>
      <c r="K63" s="18" t="inlineStr">
        <is>
          <t>2026-09-12</t>
        </is>
      </c>
      <c r="L63" s="20" t="inlineStr"/>
    </row>
    <row r="64">
      <c r="A64" s="18" t="n">
        <v>63</v>
      </c>
      <c r="B64" s="19" t="inlineStr">
        <is>
          <t>HU.ECM.ENT.TRN</t>
        </is>
      </c>
      <c r="C64" s="20" t="inlineStr">
        <is>
          <t>E-sales as share of enterprise turnover</t>
        </is>
      </c>
      <c r="D64" s="18" t="inlineStr">
        <is>
          <t>HU</t>
        </is>
      </c>
      <c r="E64" s="18" t="n">
        <v>2024</v>
      </c>
      <c r="F64" s="22" t="n">
        <v>21.35</v>
      </c>
      <c r="G64" s="18" t="inlineStr">
        <is>
          <t>%</t>
        </is>
      </c>
      <c r="H64" s="20" t="inlineStr">
        <is>
          <t>% of total enterprise turnover</t>
        </is>
      </c>
      <c r="I64" s="18" t="inlineStr">
        <is>
          <t>u</t>
        </is>
      </c>
      <c r="J64" s="19" t="inlineStr">
        <is>
          <t>ES6</t>
        </is>
      </c>
      <c r="K64" s="18" t="inlineStr">
        <is>
          <t>2026-09-12</t>
        </is>
      </c>
      <c r="L64" s="20" t="inlineStr"/>
    </row>
    <row r="65">
      <c r="A65" s="18" t="n">
        <v>64</v>
      </c>
      <c r="B65" s="19" t="inlineStr">
        <is>
          <t>DE.ECM.ENT.TRN</t>
        </is>
      </c>
      <c r="C65" s="20" t="inlineStr">
        <is>
          <t>E-sales as share of enterprise turnover</t>
        </is>
      </c>
      <c r="D65" s="18" t="inlineStr">
        <is>
          <t>DE</t>
        </is>
      </c>
      <c r="E65" s="18" t="n">
        <v>2024</v>
      </c>
      <c r="F65" s="22" t="n">
        <v>19.05</v>
      </c>
      <c r="G65" s="18" t="inlineStr">
        <is>
          <t>%</t>
        </is>
      </c>
      <c r="H65" s="20" t="inlineStr">
        <is>
          <t>% of total enterprise turnover</t>
        </is>
      </c>
      <c r="I65" s="18" t="inlineStr">
        <is>
          <t>u</t>
        </is>
      </c>
      <c r="J65" s="19" t="inlineStr">
        <is>
          <t>ES6</t>
        </is>
      </c>
      <c r="K65" s="18" t="inlineStr">
        <is>
          <t>2026-09-12</t>
        </is>
      </c>
      <c r="L65" s="20" t="inlineStr"/>
    </row>
    <row r="66">
      <c r="A66" s="18" t="n">
        <v>65</v>
      </c>
      <c r="B66" s="19" t="inlineStr">
        <is>
          <t>AT.ECM.ENT.TRN</t>
        </is>
      </c>
      <c r="C66" s="20" t="inlineStr">
        <is>
          <t>E-sales as share of enterprise turnover</t>
        </is>
      </c>
      <c r="D66" s="18" t="inlineStr">
        <is>
          <t>AT</t>
        </is>
      </c>
      <c r="E66" s="18" t="n">
        <v>2024</v>
      </c>
      <c r="F66" s="22" t="n">
        <v>18.96</v>
      </c>
      <c r="G66" s="18" t="inlineStr">
        <is>
          <t>%</t>
        </is>
      </c>
      <c r="H66" s="20" t="inlineStr">
        <is>
          <t>% of total enterprise turnover</t>
        </is>
      </c>
      <c r="I66" s="18" t="inlineStr">
        <is>
          <t>u</t>
        </is>
      </c>
      <c r="J66" s="19" t="inlineStr">
        <is>
          <t>ES6</t>
        </is>
      </c>
      <c r="K66" s="18" t="inlineStr">
        <is>
          <t>2026-09-12</t>
        </is>
      </c>
      <c r="L66" s="20" t="inlineStr"/>
    </row>
    <row r="67">
      <c r="A67" s="18" t="n">
        <v>66</v>
      </c>
      <c r="B67" s="19" t="inlineStr">
        <is>
          <t>HR.ECM.ENT.TRN</t>
        </is>
      </c>
      <c r="C67" s="20" t="inlineStr">
        <is>
          <t>E-sales as share of enterprise turnover</t>
        </is>
      </c>
      <c r="D67" s="18" t="inlineStr">
        <is>
          <t>HR</t>
        </is>
      </c>
      <c r="E67" s="18" t="n">
        <v>2024</v>
      </c>
      <c r="F67" s="22" t="n">
        <v>18.48</v>
      </c>
      <c r="G67" s="18" t="inlineStr">
        <is>
          <t>%</t>
        </is>
      </c>
      <c r="H67" s="20" t="inlineStr">
        <is>
          <t>% of total enterprise turnover</t>
        </is>
      </c>
      <c r="I67" s="18" t="inlineStr">
        <is>
          <t>u</t>
        </is>
      </c>
      <c r="J67" s="19" t="inlineStr">
        <is>
          <t>ES6</t>
        </is>
      </c>
      <c r="K67" s="18" t="inlineStr">
        <is>
          <t>2026-09-12</t>
        </is>
      </c>
      <c r="L67" s="20" t="inlineStr"/>
    </row>
    <row r="68">
      <c r="A68" s="18" t="n">
        <v>67</v>
      </c>
      <c r="B68" s="19" t="inlineStr">
        <is>
          <t>ES.ECM.ENT.TRN</t>
        </is>
      </c>
      <c r="C68" s="20" t="inlineStr">
        <is>
          <t>E-sales as share of enterprise turnover</t>
        </is>
      </c>
      <c r="D68" s="18" t="inlineStr">
        <is>
          <t>ES</t>
        </is>
      </c>
      <c r="E68" s="18" t="n">
        <v>2024</v>
      </c>
      <c r="F68" s="22" t="n">
        <v>18.27</v>
      </c>
      <c r="G68" s="18" t="inlineStr">
        <is>
          <t>%</t>
        </is>
      </c>
      <c r="H68" s="20" t="inlineStr">
        <is>
          <t>% of total enterprise turnover</t>
        </is>
      </c>
      <c r="I68" s="18" t="inlineStr">
        <is>
          <t>u</t>
        </is>
      </c>
      <c r="J68" s="19" t="inlineStr">
        <is>
          <t>ES6</t>
        </is>
      </c>
      <c r="K68" s="18" t="inlineStr">
        <is>
          <t>2026-09-12</t>
        </is>
      </c>
      <c r="L68" s="20" t="inlineStr"/>
    </row>
    <row r="69">
      <c r="A69" s="18" t="n">
        <v>68</v>
      </c>
      <c r="B69" s="19" t="inlineStr">
        <is>
          <t>PL.ECM.ENT.TRN</t>
        </is>
      </c>
      <c r="C69" s="20" t="inlineStr">
        <is>
          <t>E-sales as share of enterprise turnover</t>
        </is>
      </c>
      <c r="D69" s="18" t="inlineStr">
        <is>
          <t>PL</t>
        </is>
      </c>
      <c r="E69" s="18" t="n">
        <v>2024</v>
      </c>
      <c r="F69" s="22" t="n">
        <v>17.66</v>
      </c>
      <c r="G69" s="18" t="inlineStr">
        <is>
          <t>%</t>
        </is>
      </c>
      <c r="H69" s="20" t="inlineStr">
        <is>
          <t>% of total enterprise turnover</t>
        </is>
      </c>
      <c r="I69" s="18" t="inlineStr">
        <is>
          <t>u</t>
        </is>
      </c>
      <c r="J69" s="19" t="inlineStr">
        <is>
          <t>ES6</t>
        </is>
      </c>
      <c r="K69" s="18" t="inlineStr">
        <is>
          <t>2026-09-12</t>
        </is>
      </c>
      <c r="L69" s="20" t="inlineStr"/>
    </row>
    <row r="70">
      <c r="A70" s="18" t="n">
        <v>69</v>
      </c>
      <c r="B70" s="19" t="inlineStr">
        <is>
          <t>SI.ECM.ENT.TRN</t>
        </is>
      </c>
      <c r="C70" s="20" t="inlineStr">
        <is>
          <t>E-sales as share of enterprise turnover</t>
        </is>
      </c>
      <c r="D70" s="18" t="inlineStr">
        <is>
          <t>SI</t>
        </is>
      </c>
      <c r="E70" s="18" t="n">
        <v>2024</v>
      </c>
      <c r="F70" s="22" t="n">
        <v>16.78</v>
      </c>
      <c r="G70" s="18" t="inlineStr">
        <is>
          <t>%</t>
        </is>
      </c>
      <c r="H70" s="20" t="inlineStr">
        <is>
          <t>% of total enterprise turnover</t>
        </is>
      </c>
      <c r="I70" s="18" t="inlineStr">
        <is>
          <t>u</t>
        </is>
      </c>
      <c r="J70" s="19" t="inlineStr">
        <is>
          <t>ES6</t>
        </is>
      </c>
      <c r="K70" s="18" t="inlineStr">
        <is>
          <t>2026-09-12</t>
        </is>
      </c>
      <c r="L70" s="20" t="inlineStr"/>
    </row>
    <row r="71">
      <c r="A71" s="18" t="n">
        <v>70</v>
      </c>
      <c r="B71" s="19" t="inlineStr">
        <is>
          <t>IT.ECM.ENT.TRN</t>
        </is>
      </c>
      <c r="C71" s="20" t="inlineStr">
        <is>
          <t>E-sales as share of enterprise turnover</t>
        </is>
      </c>
      <c r="D71" s="18" t="inlineStr">
        <is>
          <t>IT</t>
        </is>
      </c>
      <c r="E71" s="18" t="n">
        <v>2024</v>
      </c>
      <c r="F71" s="22" t="n">
        <v>15.66</v>
      </c>
      <c r="G71" s="18" t="inlineStr">
        <is>
          <t>%</t>
        </is>
      </c>
      <c r="H71" s="20" t="inlineStr">
        <is>
          <t>% of total enterprise turnover</t>
        </is>
      </c>
      <c r="I71" s="18" t="inlineStr">
        <is>
          <t>u</t>
        </is>
      </c>
      <c r="J71" s="19" t="inlineStr">
        <is>
          <t>ES6</t>
        </is>
      </c>
      <c r="K71" s="18" t="inlineStr">
        <is>
          <t>2026-09-12</t>
        </is>
      </c>
      <c r="L71" s="20" t="inlineStr"/>
    </row>
    <row r="72">
      <c r="A72" s="18" t="n">
        <v>71</v>
      </c>
      <c r="B72" s="19" t="inlineStr">
        <is>
          <t>MT.ECM.ENT.TRN</t>
        </is>
      </c>
      <c r="C72" s="20" t="inlineStr">
        <is>
          <t>E-sales as share of enterprise turnover</t>
        </is>
      </c>
      <c r="D72" s="18" t="inlineStr">
        <is>
          <t>MT</t>
        </is>
      </c>
      <c r="E72" s="18" t="n">
        <v>2024</v>
      </c>
      <c r="F72" s="22" t="n">
        <v>15.46</v>
      </c>
      <c r="G72" s="18" t="inlineStr">
        <is>
          <t>%</t>
        </is>
      </c>
      <c r="H72" s="20" t="inlineStr">
        <is>
          <t>% of total enterprise turnover</t>
        </is>
      </c>
      <c r="I72" s="18" t="inlineStr">
        <is>
          <t>u</t>
        </is>
      </c>
      <c r="J72" s="19" t="inlineStr">
        <is>
          <t>ES6</t>
        </is>
      </c>
      <c r="K72" s="18" t="inlineStr">
        <is>
          <t>2026-09-12</t>
        </is>
      </c>
      <c r="L72" s="20" t="inlineStr"/>
    </row>
    <row r="73">
      <c r="A73" s="18" t="n">
        <v>72</v>
      </c>
      <c r="B73" s="19" t="inlineStr">
        <is>
          <t>FR.ECM.ENT.TRN</t>
        </is>
      </c>
      <c r="C73" s="20" t="inlineStr">
        <is>
          <t>E-sales as share of enterprise turnover</t>
        </is>
      </c>
      <c r="D73" s="18" t="inlineStr">
        <is>
          <t>FR</t>
        </is>
      </c>
      <c r="E73" s="18" t="n">
        <v>2024</v>
      </c>
      <c r="F73" s="22" t="n">
        <v>14.25</v>
      </c>
      <c r="G73" s="18" t="inlineStr">
        <is>
          <t>%</t>
        </is>
      </c>
      <c r="H73" s="20" t="inlineStr">
        <is>
          <t>% of total enterprise turnover</t>
        </is>
      </c>
      <c r="I73" s="18" t="inlineStr">
        <is>
          <t>u</t>
        </is>
      </c>
      <c r="J73" s="19" t="inlineStr">
        <is>
          <t>ES6</t>
        </is>
      </c>
      <c r="K73" s="18" t="inlineStr">
        <is>
          <t>2026-09-12</t>
        </is>
      </c>
      <c r="L73" s="20" t="inlineStr"/>
    </row>
    <row r="74">
      <c r="A74" s="18" t="n">
        <v>73</v>
      </c>
      <c r="B74" s="19" t="inlineStr">
        <is>
          <t>CY.ECM.ENT.TRN</t>
        </is>
      </c>
      <c r="C74" s="20" t="inlineStr">
        <is>
          <t>E-sales as share of enterprise turnover</t>
        </is>
      </c>
      <c r="D74" s="18" t="inlineStr">
        <is>
          <t>CY</t>
        </is>
      </c>
      <c r="E74" s="18" t="n">
        <v>2024</v>
      </c>
      <c r="F74" s="22" t="n">
        <v>13.36</v>
      </c>
      <c r="G74" s="18" t="inlineStr">
        <is>
          <t>%</t>
        </is>
      </c>
      <c r="H74" s="20" t="inlineStr">
        <is>
          <t>% of total enterprise turnover</t>
        </is>
      </c>
      <c r="I74" s="18" t="inlineStr">
        <is>
          <t>u</t>
        </is>
      </c>
      <c r="J74" s="19" t="inlineStr">
        <is>
          <t>ES6</t>
        </is>
      </c>
      <c r="K74" s="18" t="inlineStr">
        <is>
          <t>2026-09-12</t>
        </is>
      </c>
      <c r="L74" s="20" t="inlineStr"/>
    </row>
    <row r="75">
      <c r="A75" s="18" t="n">
        <v>74</v>
      </c>
      <c r="B75" s="19" t="inlineStr">
        <is>
          <t>BG.ECM.ENT.TRN</t>
        </is>
      </c>
      <c r="C75" s="20" t="inlineStr">
        <is>
          <t>E-sales as share of enterprise turnover</t>
        </is>
      </c>
      <c r="D75" s="18" t="inlineStr">
        <is>
          <t>BG</t>
        </is>
      </c>
      <c r="E75" s="18" t="n">
        <v>2024</v>
      </c>
      <c r="F75" s="22" t="n">
        <v>7.63</v>
      </c>
      <c r="G75" s="18" t="inlineStr">
        <is>
          <t>%</t>
        </is>
      </c>
      <c r="H75" s="20" t="inlineStr">
        <is>
          <t>% of total enterprise turnover</t>
        </is>
      </c>
      <c r="I75" s="18" t="inlineStr">
        <is>
          <t>u</t>
        </is>
      </c>
      <c r="J75" s="19" t="inlineStr">
        <is>
          <t>ES6</t>
        </is>
      </c>
      <c r="K75" s="18" t="inlineStr">
        <is>
          <t>2026-09-12</t>
        </is>
      </c>
      <c r="L75" s="20" t="inlineStr"/>
    </row>
    <row r="76">
      <c r="A76" s="13" t="n">
        <v>75</v>
      </c>
      <c r="B76" s="14" t="inlineStr">
        <is>
          <t>DK.ECM.ENT.SHR</t>
        </is>
      </c>
      <c r="C76" s="15" t="inlineStr">
        <is>
          <t>Enterprises making e-sales</t>
        </is>
      </c>
      <c r="D76" s="13" t="inlineStr">
        <is>
          <t>DK</t>
        </is>
      </c>
      <c r="E76" s="13" t="n">
        <v>2024</v>
      </c>
      <c r="F76" s="16" t="n">
        <v>38.78</v>
      </c>
      <c r="G76" s="13" t="inlineStr">
        <is>
          <t>%</t>
        </is>
      </c>
      <c r="H76" s="15" t="inlineStr">
        <is>
          <t>% of enterprises</t>
        </is>
      </c>
      <c r="I76" s="13" t="inlineStr"/>
      <c r="J76" s="14" t="inlineStr">
        <is>
          <t>ES5</t>
        </is>
      </c>
      <c r="K76" s="13" t="inlineStr">
        <is>
          <t>2026-09-12</t>
        </is>
      </c>
      <c r="L76" s="15" t="inlineStr">
        <is>
          <t>2nd in EU after Lithuania.</t>
        </is>
      </c>
    </row>
    <row r="77">
      <c r="A77" s="13" t="n">
        <v>76</v>
      </c>
      <c r="B77" s="14" t="inlineStr">
        <is>
          <t>LT.ECM.ENT.SHR</t>
        </is>
      </c>
      <c r="C77" s="15" t="inlineStr">
        <is>
          <t>Enterprises making e-sales</t>
        </is>
      </c>
      <c r="D77" s="13" t="inlineStr">
        <is>
          <t>LT</t>
        </is>
      </c>
      <c r="E77" s="13" t="n">
        <v>2024</v>
      </c>
      <c r="F77" s="16" t="n">
        <v>43.03</v>
      </c>
      <c r="G77" s="13" t="inlineStr">
        <is>
          <t>%</t>
        </is>
      </c>
      <c r="H77" s="15" t="inlineStr">
        <is>
          <t>% of enterprises</t>
        </is>
      </c>
      <c r="I77" s="13" t="inlineStr"/>
      <c r="J77" s="14" t="inlineStr">
        <is>
          <t>ES5</t>
        </is>
      </c>
      <c r="K77" s="13" t="inlineStr">
        <is>
          <t>2026-09-12</t>
        </is>
      </c>
      <c r="L77" s="15" t="inlineStr">
        <is>
          <t>Highest in EU.</t>
        </is>
      </c>
    </row>
    <row r="78">
      <c r="A78" s="13" t="n">
        <v>77</v>
      </c>
      <c r="B78" s="14" t="inlineStr">
        <is>
          <t>DK.DGP.EXMP</t>
        </is>
      </c>
      <c r="C78" s="15" t="inlineStr">
        <is>
          <t>Citizens formally exempt from Digital Post</t>
        </is>
      </c>
      <c r="D78" s="13" t="inlineStr">
        <is>
          <t>DK</t>
        </is>
      </c>
      <c r="E78" s="13" t="n">
        <v>2025</v>
      </c>
      <c r="F78" s="16" t="n">
        <v>5</v>
      </c>
      <c r="G78" s="13" t="inlineStr">
        <is>
          <t>%</t>
        </is>
      </c>
      <c r="H78" s="15" t="inlineStr">
        <is>
          <t>% of citizens aged 15+ resident in Denmark</t>
        </is>
      </c>
      <c r="I78" s="13" t="inlineStr"/>
      <c r="J78" s="14" t="inlineStr">
        <is>
          <t>DG1</t>
        </is>
      </c>
      <c r="K78" s="13" t="inlineStr">
        <is>
          <t>2026-09-12</t>
        </is>
      </c>
      <c r="L78" s="15" t="inlineStr">
        <is>
          <t>April 2025; approx. 256,000 citizens.</t>
        </is>
      </c>
    </row>
    <row r="79">
      <c r="A79" s="13" t="n">
        <v>78</v>
      </c>
      <c r="B79" s="14" t="inlineStr">
        <is>
          <t>DK.DGP.EXMP</t>
        </is>
      </c>
      <c r="C79" s="15" t="inlineStr">
        <is>
          <t>Citizens formally exempt from Digital Post</t>
        </is>
      </c>
      <c r="D79" s="13" t="inlineStr">
        <is>
          <t>DK</t>
        </is>
      </c>
      <c r="E79" s="13" t="n">
        <v>2026</v>
      </c>
      <c r="F79" s="16" t="n">
        <v>4.7</v>
      </c>
      <c r="G79" s="13" t="inlineStr">
        <is>
          <t>%</t>
        </is>
      </c>
      <c r="H79" s="15" t="inlineStr">
        <is>
          <t>% of citizens aged 15+ resident in Denmark</t>
        </is>
      </c>
      <c r="I79" s="13" t="inlineStr"/>
      <c r="J79" s="14" t="inlineStr">
        <is>
          <t>DG1</t>
        </is>
      </c>
      <c r="K79" s="13" t="inlineStr">
        <is>
          <t>2026-09-12</t>
        </is>
      </c>
      <c r="L79" s="15" t="inlineStr">
        <is>
          <t>Q1 2026; 238,479 citizens. 95.2% enrolled.</t>
        </is>
      </c>
    </row>
    <row r="80">
      <c r="A80" s="18" t="n">
        <v>79</v>
      </c>
      <c r="B80" s="19" t="inlineStr">
        <is>
          <t>DK.DGP.EXMP.7584</t>
        </is>
      </c>
      <c r="C80" s="20" t="inlineStr">
        <is>
          <t>Exemption rate, age 75-84</t>
        </is>
      </c>
      <c r="D80" s="18" t="inlineStr">
        <is>
          <t>DK</t>
        </is>
      </c>
      <c r="E80" s="18" t="n">
        <v>2022</v>
      </c>
      <c r="F80" s="22" t="n">
        <v>20</v>
      </c>
      <c r="G80" s="18" t="inlineStr">
        <is>
          <t>%</t>
        </is>
      </c>
      <c r="H80" s="20" t="inlineStr">
        <is>
          <t>% of age group</t>
        </is>
      </c>
      <c r="I80" s="18" t="inlineStr">
        <is>
          <t>e</t>
        </is>
      </c>
      <c r="J80" s="19" t="inlineStr">
        <is>
          <t>DG1</t>
        </is>
      </c>
      <c r="K80" s="18" t="inlineStr">
        <is>
          <t>2026-09-12</t>
        </is>
      </c>
      <c r="L80" s="20" t="inlineStr">
        <is>
          <t>Source states 'nearly one in five'.</t>
        </is>
      </c>
    </row>
    <row r="81">
      <c r="A81" s="18" t="n">
        <v>80</v>
      </c>
      <c r="B81" s="19" t="inlineStr">
        <is>
          <t>DK.DGP.EXMP.85P</t>
        </is>
      </c>
      <c r="C81" s="20" t="inlineStr">
        <is>
          <t>Exemption rate, age 85+</t>
        </is>
      </c>
      <c r="D81" s="18" t="inlineStr">
        <is>
          <t>DK</t>
        </is>
      </c>
      <c r="E81" s="18" t="n">
        <v>2022</v>
      </c>
      <c r="F81" s="22" t="n">
        <v>33</v>
      </c>
      <c r="G81" s="18" t="inlineStr">
        <is>
          <t>%</t>
        </is>
      </c>
      <c r="H81" s="20" t="inlineStr">
        <is>
          <t>% of age group</t>
        </is>
      </c>
      <c r="I81" s="18" t="inlineStr">
        <is>
          <t>e</t>
        </is>
      </c>
      <c r="J81" s="19" t="inlineStr">
        <is>
          <t>DG1</t>
        </is>
      </c>
      <c r="K81" s="18" t="inlineStr">
        <is>
          <t>2026-09-12</t>
        </is>
      </c>
      <c r="L81" s="20" t="inlineStr">
        <is>
          <t>Source states 'roughly one in three'.</t>
        </is>
      </c>
    </row>
    <row r="82">
      <c r="A82" s="13" t="n">
        <v>81</v>
      </c>
      <c r="B82" s="14" t="inlineStr">
        <is>
          <t>DK.DGX.NOUSE</t>
        </is>
      </c>
      <c r="C82" s="15" t="inlineStr">
        <is>
          <t>Do not use digital public services at all</t>
        </is>
      </c>
      <c r="D82" s="13" t="inlineStr">
        <is>
          <t>DK</t>
        </is>
      </c>
      <c r="E82" s="13" t="n">
        <v>2026</v>
      </c>
      <c r="F82" s="16" t="n">
        <v>6.5</v>
      </c>
      <c r="G82" s="13" t="inlineStr">
        <is>
          <t>%</t>
        </is>
      </c>
      <c r="H82" s="15" t="inlineStr">
        <is>
          <t>% of population</t>
        </is>
      </c>
      <c r="I82" s="13" t="inlineStr"/>
      <c r="J82" s="14" t="inlineStr">
        <is>
          <t>EC1</t>
        </is>
      </c>
      <c r="K82" s="13" t="inlineStr">
        <is>
          <t>2026-09-12</t>
        </is>
      </c>
      <c r="L82" s="15" t="inlineStr">
        <is>
          <t>Agency for Digital Government estimate.</t>
        </is>
      </c>
    </row>
    <row r="83">
      <c r="A83" s="13" t="n">
        <v>82</v>
      </c>
      <c r="B83" s="14" t="inlineStr">
        <is>
          <t>DK.DGX.DIFF</t>
        </is>
      </c>
      <c r="C83" s="15" t="inlineStr">
        <is>
          <t>Face difficulties using digital public services</t>
        </is>
      </c>
      <c r="D83" s="13" t="inlineStr">
        <is>
          <t>DK</t>
        </is>
      </c>
      <c r="E83" s="13" t="n">
        <v>2026</v>
      </c>
      <c r="F83" s="16" t="n">
        <v>16.5</v>
      </c>
      <c r="G83" s="13" t="inlineStr">
        <is>
          <t>%</t>
        </is>
      </c>
      <c r="H83" s="15" t="inlineStr">
        <is>
          <t>% of population</t>
        </is>
      </c>
      <c r="I83" s="13" t="inlineStr"/>
      <c r="J83" s="14" t="inlineStr">
        <is>
          <t>EC1</t>
        </is>
      </c>
      <c r="K83" s="13" t="inlineStr">
        <is>
          <t>2026-09-12</t>
        </is>
      </c>
      <c r="L83" s="15" t="inlineStr">
        <is>
          <t>Agency for Digital Government estimate.</t>
        </is>
      </c>
    </row>
    <row r="84">
      <c r="A84" s="18" t="n">
        <v>83</v>
      </c>
      <c r="B84" s="19" t="inlineStr">
        <is>
          <t>DK.DGX.DISADV.LO</t>
        </is>
      </c>
      <c r="C84" s="20" t="inlineStr">
        <is>
          <t>'Digitally disadvantaged' - lower bound</t>
        </is>
      </c>
      <c r="D84" s="18" t="inlineStr">
        <is>
          <t>DK</t>
        </is>
      </c>
      <c r="E84" s="18" t="n">
        <v>2025</v>
      </c>
      <c r="F84" s="22" t="n">
        <v>17</v>
      </c>
      <c r="G84" s="18" t="inlineStr">
        <is>
          <t>%</t>
        </is>
      </c>
      <c r="H84" s="20" t="inlineStr">
        <is>
          <t>% of adult population</t>
        </is>
      </c>
      <c r="I84" s="18" t="inlineStr">
        <is>
          <t>e</t>
        </is>
      </c>
      <c r="J84" s="19" t="inlineStr">
        <is>
          <t>DG2</t>
        </is>
      </c>
      <c r="K84" s="18" t="inlineStr">
        <is>
          <t>2026-09-12</t>
        </is>
      </c>
      <c r="L84" s="20" t="inlineStr">
        <is>
          <t>Published as a 17-22% range.</t>
        </is>
      </c>
    </row>
    <row r="85">
      <c r="A85" s="18" t="n">
        <v>84</v>
      </c>
      <c r="B85" s="19" t="inlineStr">
        <is>
          <t>DK.DGX.DISADV.HI</t>
        </is>
      </c>
      <c r="C85" s="20" t="inlineStr">
        <is>
          <t>'Digitally disadvantaged' - upper bound</t>
        </is>
      </c>
      <c r="D85" s="18" t="inlineStr">
        <is>
          <t>DK</t>
        </is>
      </c>
      <c r="E85" s="18" t="n">
        <v>2025</v>
      </c>
      <c r="F85" s="22" t="n">
        <v>22</v>
      </c>
      <c r="G85" s="18" t="inlineStr">
        <is>
          <t>%</t>
        </is>
      </c>
      <c r="H85" s="20" t="inlineStr">
        <is>
          <t>% of adult population</t>
        </is>
      </c>
      <c r="I85" s="18" t="inlineStr">
        <is>
          <t>e</t>
        </is>
      </c>
      <c r="J85" s="19" t="inlineStr">
        <is>
          <t>DG2</t>
        </is>
      </c>
      <c r="K85" s="18" t="inlineStr">
        <is>
          <t>2026-09-12</t>
        </is>
      </c>
      <c r="L85" s="20" t="inlineStr">
        <is>
          <t>Published as a 17-22% range.</t>
        </is>
      </c>
    </row>
    <row r="86">
      <c r="A86" s="18" t="n">
        <v>85</v>
      </c>
      <c r="B86" s="19" t="inlineStr">
        <is>
          <t>DK.DGX.JUST</t>
        </is>
      </c>
      <c r="C86" s="20" t="inlineStr">
        <is>
          <t>'Digitally disadvantaged' - Justitia estimate</t>
        </is>
      </c>
      <c r="D86" s="18" t="inlineStr">
        <is>
          <t>DK</t>
        </is>
      </c>
      <c r="E86" s="18" t="n">
        <v>2022</v>
      </c>
      <c r="F86" s="22" t="n">
        <v>25</v>
      </c>
      <c r="G86" s="18" t="inlineStr">
        <is>
          <t>%</t>
        </is>
      </c>
      <c r="H86" s="20" t="inlineStr">
        <is>
          <t>% of adult population</t>
        </is>
      </c>
      <c r="I86" s="18" t="inlineStr">
        <is>
          <t>e</t>
        </is>
      </c>
      <c r="J86" s="19" t="inlineStr">
        <is>
          <t>JU1</t>
        </is>
      </c>
      <c r="K86" s="18" t="inlineStr">
        <is>
          <t>2026-09-12</t>
        </is>
      </c>
      <c r="L86" s="20" t="inlineStr">
        <is>
          <t>Report states 'up to a quarter of the adult population'.</t>
        </is>
      </c>
    </row>
    <row r="87">
      <c r="A87" s="13" t="n">
        <v>86</v>
      </c>
      <c r="B87" s="14" t="inlineStr">
        <is>
          <t>DK.TRU.DPS</t>
        </is>
      </c>
      <c r="C87" s="15" t="inlineStr">
        <is>
          <t>Trust in digital public solutions</t>
        </is>
      </c>
      <c r="D87" s="13" t="inlineStr">
        <is>
          <t>DK</t>
        </is>
      </c>
      <c r="E87" s="13" t="n">
        <v>2024</v>
      </c>
      <c r="F87" s="16" t="n">
        <v>82</v>
      </c>
      <c r="G87" s="13" t="inlineStr">
        <is>
          <t>%</t>
        </is>
      </c>
      <c r="H87" s="15" t="inlineStr">
        <is>
          <t>% of population</t>
        </is>
      </c>
      <c r="I87" s="13" t="inlineStr"/>
      <c r="J87" s="14" t="inlineStr">
        <is>
          <t>EC1</t>
        </is>
      </c>
      <c r="K87" s="13" t="inlineStr">
        <is>
          <t>2026-09-12</t>
        </is>
      </c>
      <c r="L87" s="15" t="inlineStr"/>
    </row>
    <row r="88">
      <c r="A88" s="13" t="n">
        <v>87</v>
      </c>
      <c r="B88" s="14" t="inlineStr">
        <is>
          <t>DK.TRU.DPS</t>
        </is>
      </c>
      <c r="C88" s="15" t="inlineStr">
        <is>
          <t>Trust in digital public solutions</t>
        </is>
      </c>
      <c r="D88" s="13" t="inlineStr">
        <is>
          <t>DK</t>
        </is>
      </c>
      <c r="E88" s="13" t="n">
        <v>2025</v>
      </c>
      <c r="F88" s="16" t="n">
        <v>84</v>
      </c>
      <c r="G88" s="13" t="inlineStr">
        <is>
          <t>%</t>
        </is>
      </c>
      <c r="H88" s="15" t="inlineStr">
        <is>
          <t>% of population</t>
        </is>
      </c>
      <c r="I88" s="13" t="inlineStr"/>
      <c r="J88" s="14" t="inlineStr">
        <is>
          <t>EC1</t>
        </is>
      </c>
      <c r="K88" s="13" t="inlineStr">
        <is>
          <t>2026-09-12</t>
        </is>
      </c>
      <c r="L88" s="15" t="inlineStr">
        <is>
          <t>Record high.</t>
        </is>
      </c>
    </row>
    <row r="89">
      <c r="A89" s="13" t="n">
        <v>88</v>
      </c>
      <c r="B89" s="14" t="inlineStr">
        <is>
          <t>DK.TRU.DGP.SEC</t>
        </is>
      </c>
      <c r="C89" s="15" t="inlineStr">
        <is>
          <t>Perceived security of Digital Post</t>
        </is>
      </c>
      <c r="D89" s="13" t="inlineStr">
        <is>
          <t>DK</t>
        </is>
      </c>
      <c r="E89" s="13" t="n">
        <v>2017</v>
      </c>
      <c r="F89" s="16" t="n">
        <v>77</v>
      </c>
      <c r="G89" s="13" t="inlineStr">
        <is>
          <t>%</t>
        </is>
      </c>
      <c r="H89" s="15" t="inlineStr">
        <is>
          <t>% of population</t>
        </is>
      </c>
      <c r="I89" s="13" t="inlineStr"/>
      <c r="J89" s="14" t="inlineStr">
        <is>
          <t>EC1</t>
        </is>
      </c>
      <c r="K89" s="13" t="inlineStr">
        <is>
          <t>2026-09-12</t>
        </is>
      </c>
      <c r="L89" s="15" t="inlineStr"/>
    </row>
    <row r="90">
      <c r="A90" s="13" t="n">
        <v>89</v>
      </c>
      <c r="B90" s="14" t="inlineStr">
        <is>
          <t>DK.TRU.DGP.SEC</t>
        </is>
      </c>
      <c r="C90" s="15" t="inlineStr">
        <is>
          <t>Perceived security of Digital Post</t>
        </is>
      </c>
      <c r="D90" s="13" t="inlineStr">
        <is>
          <t>DK</t>
        </is>
      </c>
      <c r="E90" s="13" t="n">
        <v>2025</v>
      </c>
      <c r="F90" s="16" t="n">
        <v>89</v>
      </c>
      <c r="G90" s="13" t="inlineStr">
        <is>
          <t>%</t>
        </is>
      </c>
      <c r="H90" s="15" t="inlineStr">
        <is>
          <t>% of population</t>
        </is>
      </c>
      <c r="I90" s="13" t="inlineStr"/>
      <c r="J90" s="14" t="inlineStr">
        <is>
          <t>EC1</t>
        </is>
      </c>
      <c r="K90" s="13" t="inlineStr">
        <is>
          <t>2026-09-12</t>
        </is>
      </c>
      <c r="L90" s="15" t="inlineStr"/>
    </row>
    <row r="91">
      <c r="A91" s="13" t="n">
        <v>90</v>
      </c>
      <c r="B91" s="14" t="inlineStr">
        <is>
          <t>DK.SKL.1624</t>
        </is>
      </c>
      <c r="C91" s="15" t="inlineStr">
        <is>
          <t>At least basic digital skills, age 16-24</t>
        </is>
      </c>
      <c r="D91" s="13" t="inlineStr">
        <is>
          <t>DK</t>
        </is>
      </c>
      <c r="E91" s="13" t="n">
        <v>2025</v>
      </c>
      <c r="F91" s="16" t="n">
        <v>92.06</v>
      </c>
      <c r="G91" s="13" t="inlineStr">
        <is>
          <t>%</t>
        </is>
      </c>
      <c r="H91" s="15" t="inlineStr">
        <is>
          <t>% of age group</t>
        </is>
      </c>
      <c r="I91" s="13" t="inlineStr"/>
      <c r="J91" s="14" t="inlineStr">
        <is>
          <t>EC1</t>
        </is>
      </c>
      <c r="K91" s="13" t="inlineStr">
        <is>
          <t>2026-09-12</t>
        </is>
      </c>
      <c r="L91" s="15" t="inlineStr">
        <is>
          <t>EU average carried as EU.SKL.1624.</t>
        </is>
      </c>
    </row>
    <row r="92">
      <c r="A92" s="13" t="n">
        <v>91</v>
      </c>
      <c r="B92" s="14" t="inlineStr">
        <is>
          <t>DK.SKL.2554</t>
        </is>
      </c>
      <c r="C92" s="15" t="inlineStr">
        <is>
          <t>At least basic digital skills, age 25-54</t>
        </is>
      </c>
      <c r="D92" s="13" t="inlineStr">
        <is>
          <t>DK</t>
        </is>
      </c>
      <c r="E92" s="13" t="n">
        <v>2025</v>
      </c>
      <c r="F92" s="16" t="n">
        <v>86.89</v>
      </c>
      <c r="G92" s="13" t="inlineStr">
        <is>
          <t>%</t>
        </is>
      </c>
      <c r="H92" s="15" t="inlineStr">
        <is>
          <t>% of age group</t>
        </is>
      </c>
      <c r="I92" s="13" t="inlineStr"/>
      <c r="J92" s="14" t="inlineStr">
        <is>
          <t>EC1</t>
        </is>
      </c>
      <c r="K92" s="13" t="inlineStr">
        <is>
          <t>2026-09-12</t>
        </is>
      </c>
      <c r="L92" s="15" t="inlineStr">
        <is>
          <t>EU average carried as EU.SKL.2554.</t>
        </is>
      </c>
    </row>
    <row r="93">
      <c r="A93" s="13" t="n">
        <v>92</v>
      </c>
      <c r="B93" s="14" t="inlineStr">
        <is>
          <t>DK.SKL.5574</t>
        </is>
      </c>
      <c r="C93" s="15" t="inlineStr">
        <is>
          <t>At least basic digital skills, age 55-74</t>
        </is>
      </c>
      <c r="D93" s="13" t="inlineStr">
        <is>
          <t>DK</t>
        </is>
      </c>
      <c r="E93" s="13" t="n">
        <v>2025</v>
      </c>
      <c r="F93" s="16" t="n">
        <v>67.81</v>
      </c>
      <c r="G93" s="13" t="inlineStr">
        <is>
          <t>%</t>
        </is>
      </c>
      <c r="H93" s="15" t="inlineStr">
        <is>
          <t>% of age group</t>
        </is>
      </c>
      <c r="I93" s="13" t="inlineStr"/>
      <c r="J93" s="14" t="inlineStr">
        <is>
          <t>EC1</t>
        </is>
      </c>
      <c r="K93" s="13" t="inlineStr">
        <is>
          <t>2026-09-12</t>
        </is>
      </c>
      <c r="L93" s="15" t="inlineStr">
        <is>
          <t>EU average carried as EU.SKL.5574.</t>
        </is>
      </c>
    </row>
    <row r="94">
      <c r="A94" s="13" t="n">
        <v>93</v>
      </c>
      <c r="B94" s="14" t="inlineStr">
        <is>
          <t>EU.SKL.1624</t>
        </is>
      </c>
      <c r="C94" s="15" t="inlineStr">
        <is>
          <t>At least basic digital skills, age 16-24</t>
        </is>
      </c>
      <c r="D94" s="13" t="inlineStr">
        <is>
          <t>EU27</t>
        </is>
      </c>
      <c r="E94" s="13" t="n">
        <v>2025</v>
      </c>
      <c r="F94" s="16" t="n">
        <v>74.55</v>
      </c>
      <c r="G94" s="13" t="inlineStr">
        <is>
          <t>%</t>
        </is>
      </c>
      <c r="H94" s="15" t="inlineStr">
        <is>
          <t>% of age group</t>
        </is>
      </c>
      <c r="I94" s="13" t="inlineStr"/>
      <c r="J94" s="14" t="inlineStr">
        <is>
          <t>EC1</t>
        </is>
      </c>
      <c r="K94" s="13" t="inlineStr">
        <is>
          <t>2026-09-12</t>
        </is>
      </c>
      <c r="L94" s="15" t="inlineStr">
        <is>
          <t>Comparator for DK.SKL.1624.</t>
        </is>
      </c>
    </row>
    <row r="95">
      <c r="A95" s="13" t="n">
        <v>94</v>
      </c>
      <c r="B95" s="14" t="inlineStr">
        <is>
          <t>EU.SKL.2554</t>
        </is>
      </c>
      <c r="C95" s="15" t="inlineStr">
        <is>
          <t>At least basic digital skills, age 25-54</t>
        </is>
      </c>
      <c r="D95" s="13" t="inlineStr">
        <is>
          <t>EU27</t>
        </is>
      </c>
      <c r="E95" s="13" t="n">
        <v>2025</v>
      </c>
      <c r="F95" s="16" t="n">
        <v>68.56999999999999</v>
      </c>
      <c r="G95" s="13" t="inlineStr">
        <is>
          <t>%</t>
        </is>
      </c>
      <c r="H95" s="15" t="inlineStr">
        <is>
          <t>% of age group</t>
        </is>
      </c>
      <c r="I95" s="13" t="inlineStr"/>
      <c r="J95" s="14" t="inlineStr">
        <is>
          <t>EC1</t>
        </is>
      </c>
      <c r="K95" s="13" t="inlineStr">
        <is>
          <t>2026-09-12</t>
        </is>
      </c>
      <c r="L95" s="15" t="inlineStr">
        <is>
          <t>Comparator for DK.SKL.2554.</t>
        </is>
      </c>
    </row>
    <row r="96">
      <c r="A96" s="13" t="n">
        <v>95</v>
      </c>
      <c r="B96" s="14" t="inlineStr">
        <is>
          <t>EU.SKL.5574</t>
        </is>
      </c>
      <c r="C96" s="15" t="inlineStr">
        <is>
          <t>At least basic digital skills, age 55-74</t>
        </is>
      </c>
      <c r="D96" s="13" t="inlineStr">
        <is>
          <t>EU27</t>
        </is>
      </c>
      <c r="E96" s="13" t="n">
        <v>2025</v>
      </c>
      <c r="F96" s="16" t="n">
        <v>42.6</v>
      </c>
      <c r="G96" s="13" t="inlineStr">
        <is>
          <t>%</t>
        </is>
      </c>
      <c r="H96" s="15" t="inlineStr">
        <is>
          <t>% of age group</t>
        </is>
      </c>
      <c r="I96" s="13" t="inlineStr"/>
      <c r="J96" s="14" t="inlineStr">
        <is>
          <t>EC1</t>
        </is>
      </c>
      <c r="K96" s="13" t="inlineStr">
        <is>
          <t>2026-09-12</t>
        </is>
      </c>
      <c r="L96" s="15" t="inlineStr">
        <is>
          <t>Comparator for DK.SKL.5574.</t>
        </is>
      </c>
    </row>
    <row r="97">
      <c r="A97" s="13" t="n">
        <v>96</v>
      </c>
      <c r="B97" s="14" t="inlineStr">
        <is>
          <t>DK.ENT.DII</t>
        </is>
      </c>
      <c r="C97" s="15" t="inlineStr">
        <is>
          <t>SMEs with at least basic digital intensity</t>
        </is>
      </c>
      <c r="D97" s="13" t="inlineStr">
        <is>
          <t>DK</t>
        </is>
      </c>
      <c r="E97" s="13" t="n">
        <v>2025</v>
      </c>
      <c r="F97" s="16" t="n">
        <v>92.45</v>
      </c>
      <c r="G97" s="13" t="inlineStr">
        <is>
          <t>%</t>
        </is>
      </c>
      <c r="H97" s="15" t="inlineStr">
        <is>
          <t>% of SMEs</t>
        </is>
      </c>
      <c r="I97" s="13" t="inlineStr"/>
      <c r="J97" s="14" t="inlineStr">
        <is>
          <t>EC1</t>
        </is>
      </c>
      <c r="K97" s="13" t="inlineStr">
        <is>
          <t>2026-09-12</t>
        </is>
      </c>
      <c r="L97" s="15" t="inlineStr">
        <is>
          <t>EU average 71.39%.</t>
        </is>
      </c>
    </row>
    <row r="98">
      <c r="A98" s="13" t="n">
        <v>97</v>
      </c>
      <c r="B98" s="14" t="inlineStr">
        <is>
          <t>EU.ENT.DII</t>
        </is>
      </c>
      <c r="C98" s="15" t="inlineStr">
        <is>
          <t>SMEs with at least basic digital intensity</t>
        </is>
      </c>
      <c r="D98" s="13" t="inlineStr">
        <is>
          <t>EU27</t>
        </is>
      </c>
      <c r="E98" s="13" t="n">
        <v>2025</v>
      </c>
      <c r="F98" s="16" t="n">
        <v>71.39</v>
      </c>
      <c r="G98" s="13" t="inlineStr">
        <is>
          <t>%</t>
        </is>
      </c>
      <c r="H98" s="15" t="inlineStr">
        <is>
          <t>% of SMEs</t>
        </is>
      </c>
      <c r="I98" s="13" t="inlineStr"/>
      <c r="J98" s="14" t="inlineStr">
        <is>
          <t>EC1</t>
        </is>
      </c>
      <c r="K98" s="13" t="inlineStr">
        <is>
          <t>2026-09-12</t>
        </is>
      </c>
      <c r="L98" s="15" t="inlineStr"/>
    </row>
    <row r="99">
      <c r="A99" s="13" t="n">
        <v>98</v>
      </c>
      <c r="B99" s="14" t="inlineStr">
        <is>
          <t>DK.ENT.AI</t>
        </is>
      </c>
      <c r="C99" s="15" t="inlineStr">
        <is>
          <t>Enterprises adopting AI</t>
        </is>
      </c>
      <c r="D99" s="13" t="inlineStr">
        <is>
          <t>DK</t>
        </is>
      </c>
      <c r="E99" s="13" t="n">
        <v>2025</v>
      </c>
      <c r="F99" s="16" t="n">
        <v>42.03</v>
      </c>
      <c r="G99" s="13" t="inlineStr">
        <is>
          <t>%</t>
        </is>
      </c>
      <c r="H99" s="15" t="inlineStr">
        <is>
          <t>% of enterprises</t>
        </is>
      </c>
      <c r="I99" s="13" t="inlineStr"/>
      <c r="J99" s="14" t="inlineStr">
        <is>
          <t>EC1</t>
        </is>
      </c>
      <c r="K99" s="13" t="inlineStr">
        <is>
          <t>2026-09-12</t>
        </is>
      </c>
      <c r="L99" s="15" t="inlineStr">
        <is>
          <t>EU average 19.95%.</t>
        </is>
      </c>
    </row>
    <row r="100">
      <c r="A100" s="13" t="n">
        <v>99</v>
      </c>
      <c r="B100" s="14" t="inlineStr">
        <is>
          <t>DK.ENT.AI.LRG</t>
        </is>
      </c>
      <c r="C100" s="15" t="inlineStr">
        <is>
          <t>Large enterprises adopting AI</t>
        </is>
      </c>
      <c r="D100" s="13" t="inlineStr">
        <is>
          <t>DK</t>
        </is>
      </c>
      <c r="E100" s="13" t="n">
        <v>2025</v>
      </c>
      <c r="F100" s="16" t="n">
        <v>74.52</v>
      </c>
      <c r="G100" s="13" t="inlineStr">
        <is>
          <t>%</t>
        </is>
      </c>
      <c r="H100" s="15" t="inlineStr">
        <is>
          <t>% of large enterprises (250+)</t>
        </is>
      </c>
      <c r="I100" s="13" t="inlineStr"/>
      <c r="J100" s="14" t="inlineStr">
        <is>
          <t>EC1</t>
        </is>
      </c>
      <c r="K100" s="13" t="inlineStr">
        <is>
          <t>2026-09-12</t>
        </is>
      </c>
      <c r="L100" s="15" t="inlineStr"/>
    </row>
    <row r="101">
      <c r="A101" s="13" t="n">
        <v>100</v>
      </c>
      <c r="B101" s="14" t="inlineStr">
        <is>
          <t>DK.ENT.AI.SME</t>
        </is>
      </c>
      <c r="C101" s="15" t="inlineStr">
        <is>
          <t>SMEs adopting AI</t>
        </is>
      </c>
      <c r="D101" s="13" t="inlineStr">
        <is>
          <t>DK</t>
        </is>
      </c>
      <c r="E101" s="13" t="n">
        <v>2025</v>
      </c>
      <c r="F101" s="16" t="n">
        <v>40.99</v>
      </c>
      <c r="G101" s="13" t="inlineStr">
        <is>
          <t>%</t>
        </is>
      </c>
      <c r="H101" s="15" t="inlineStr">
        <is>
          <t>% of SMEs (10-249)</t>
        </is>
      </c>
      <c r="I101" s="13" t="inlineStr"/>
      <c r="J101" s="14" t="inlineStr">
        <is>
          <t>EC1</t>
        </is>
      </c>
      <c r="K101" s="13" t="inlineStr">
        <is>
          <t>2026-09-12</t>
        </is>
      </c>
      <c r="L101" s="15" t="inlineStr"/>
    </row>
    <row r="102">
      <c r="A102" s="13" t="n">
        <v>101</v>
      </c>
      <c r="B102" s="14" t="inlineStr">
        <is>
          <t>DK.GOV.DPS.CIT</t>
        </is>
      </c>
      <c r="C102" s="15" t="inlineStr">
        <is>
          <t>Digital public services for citizens (score)</t>
        </is>
      </c>
      <c r="D102" s="13" t="inlineStr">
        <is>
          <t>DK</t>
        </is>
      </c>
      <c r="E102" s="13" t="n">
        <v>2025</v>
      </c>
      <c r="F102" s="16" t="n">
        <v>82.2</v>
      </c>
      <c r="G102" s="13" t="inlineStr">
        <is>
          <t>score 0-100</t>
        </is>
      </c>
      <c r="H102" s="15" t="inlineStr">
        <is>
          <t>eGovernment Benchmark score</t>
        </is>
      </c>
      <c r="I102" s="13" t="inlineStr"/>
      <c r="J102" s="14" t="inlineStr">
        <is>
          <t>EC1</t>
        </is>
      </c>
      <c r="K102" s="13" t="inlineStr">
        <is>
          <t>2026-09-12</t>
        </is>
      </c>
      <c r="L102" s="15" t="inlineStr">
        <is>
          <t>BELOW the EU average of 84.64.</t>
        </is>
      </c>
    </row>
    <row r="103">
      <c r="A103" s="13" t="n">
        <v>102</v>
      </c>
      <c r="B103" s="14" t="inlineStr">
        <is>
          <t>EU.GOV.DPS.CIT</t>
        </is>
      </c>
      <c r="C103" s="15" t="inlineStr">
        <is>
          <t>Digital public services for citizens (score)</t>
        </is>
      </c>
      <c r="D103" s="13" t="inlineStr">
        <is>
          <t>EU27</t>
        </is>
      </c>
      <c r="E103" s="13" t="n">
        <v>2025</v>
      </c>
      <c r="F103" s="16" t="n">
        <v>84.64</v>
      </c>
      <c r="G103" s="13" t="inlineStr">
        <is>
          <t>score 0-100</t>
        </is>
      </c>
      <c r="H103" s="15" t="inlineStr">
        <is>
          <t>eGovernment Benchmark score</t>
        </is>
      </c>
      <c r="I103" s="13" t="inlineStr"/>
      <c r="J103" s="14" t="inlineStr">
        <is>
          <t>EC1</t>
        </is>
      </c>
      <c r="K103" s="13" t="inlineStr">
        <is>
          <t>2026-09-12</t>
        </is>
      </c>
      <c r="L103" s="15" t="inlineStr"/>
    </row>
    <row r="104">
      <c r="A104" s="13" t="n">
        <v>103</v>
      </c>
      <c r="B104" s="14" t="inlineStr">
        <is>
          <t>DK.GOV.DPS.XB</t>
        </is>
      </c>
      <c r="C104" s="15" t="inlineStr">
        <is>
          <t>Cross-border digital public services, citizens (score)</t>
        </is>
      </c>
      <c r="D104" s="13" t="inlineStr">
        <is>
          <t>DK</t>
        </is>
      </c>
      <c r="E104" s="13" t="n">
        <v>2025</v>
      </c>
      <c r="F104" s="16" t="n">
        <v>64.40000000000001</v>
      </c>
      <c r="G104" s="13" t="inlineStr">
        <is>
          <t>score 0-100</t>
        </is>
      </c>
      <c r="H104" s="15" t="inlineStr">
        <is>
          <t>eGovernment Benchmark score</t>
        </is>
      </c>
      <c r="I104" s="13" t="inlineStr"/>
      <c r="J104" s="14" t="inlineStr">
        <is>
          <t>EC1</t>
        </is>
      </c>
      <c r="K104" s="13" t="inlineStr">
        <is>
          <t>2026-09-12</t>
        </is>
      </c>
      <c r="L104" s="15" t="inlineStr">
        <is>
          <t>EU average 75.28.</t>
        </is>
      </c>
    </row>
    <row r="105">
      <c r="A105" s="13" t="n">
        <v>104</v>
      </c>
      <c r="B105" s="14" t="inlineStr">
        <is>
          <t>DK.ENV.WEEE</t>
        </is>
      </c>
      <c r="C105" s="15" t="inlineStr">
        <is>
          <t>ICT waste recycled or prepared for reuse</t>
        </is>
      </c>
      <c r="D105" s="13" t="inlineStr">
        <is>
          <t>DK</t>
        </is>
      </c>
      <c r="E105" s="13" t="n">
        <v>2023</v>
      </c>
      <c r="F105" s="16" t="n">
        <v>15.37</v>
      </c>
      <c r="G105" s="13" t="inlineStr">
        <is>
          <t>%</t>
        </is>
      </c>
      <c r="H105" s="15" t="inlineStr">
        <is>
          <t>% of ICT-related WEEE collected</t>
        </is>
      </c>
      <c r="I105" s="13" t="inlineStr"/>
      <c r="J105" s="14" t="inlineStr">
        <is>
          <t>EC1</t>
        </is>
      </c>
      <c r="K105" s="13" t="inlineStr">
        <is>
          <t>2026-09-12</t>
        </is>
      </c>
      <c r="L105" s="15" t="inlineStr">
        <is>
          <t>Among the lowest in the EU; EU average 80.23%.</t>
        </is>
      </c>
    </row>
    <row r="106">
      <c r="A106" s="13" t="n">
        <v>105</v>
      </c>
      <c r="B106" s="14" t="inlineStr">
        <is>
          <t>EU.ENV.WEEE</t>
        </is>
      </c>
      <c r="C106" s="15" t="inlineStr">
        <is>
          <t>ICT waste recycled or prepared for reuse</t>
        </is>
      </c>
      <c r="D106" s="13" t="inlineStr">
        <is>
          <t>EU27</t>
        </is>
      </c>
      <c r="E106" s="13" t="n">
        <v>2023</v>
      </c>
      <c r="F106" s="16" t="n">
        <v>80.23</v>
      </c>
      <c r="G106" s="13" t="inlineStr">
        <is>
          <t>%</t>
        </is>
      </c>
      <c r="H106" s="15" t="inlineStr">
        <is>
          <t>% of ICT-related WEEE collected</t>
        </is>
      </c>
      <c r="I106" s="13" t="inlineStr"/>
      <c r="J106" s="14" t="inlineStr">
        <is>
          <t>EC1</t>
        </is>
      </c>
      <c r="K106" s="13" t="inlineStr">
        <is>
          <t>2026-09-12</t>
        </is>
      </c>
      <c r="L106" s="15" t="inlineStr"/>
    </row>
    <row r="107">
      <c r="A107" s="18" t="n">
        <v>106</v>
      </c>
      <c r="B107" s="19" t="inlineStr">
        <is>
          <t>DK.SME.SMVD.PROJ</t>
        </is>
      </c>
      <c r="C107" s="20" t="inlineStr">
        <is>
          <t>SMV:Digital projects supported since 2018</t>
        </is>
      </c>
      <c r="D107" s="18" t="inlineStr">
        <is>
          <t>DK</t>
        </is>
      </c>
      <c r="E107" s="18" t="n">
        <v>2025</v>
      </c>
      <c r="F107" s="21" t="n">
        <v>7000</v>
      </c>
      <c r="G107" s="18" t="inlineStr">
        <is>
          <t>count</t>
        </is>
      </c>
      <c r="H107" s="20" t="inlineStr">
        <is>
          <t>digitalisation projects</t>
        </is>
      </c>
      <c r="I107" s="18" t="inlineStr">
        <is>
          <t>e</t>
        </is>
      </c>
      <c r="J107" s="19" t="inlineStr">
        <is>
          <t>DG3</t>
        </is>
      </c>
      <c r="K107" s="18" t="inlineStr">
        <is>
          <t>2026-09-12</t>
        </is>
      </c>
      <c r="L107" s="20" t="inlineStr">
        <is>
          <t>Source states 'knap 7.000' (just under 7,000).</t>
        </is>
      </c>
    </row>
    <row r="108">
      <c r="A108" s="13" t="n">
        <v>107</v>
      </c>
      <c r="B108" s="14" t="inlineStr">
        <is>
          <t>DK.SME.SMVD.INV</t>
        </is>
      </c>
      <c r="C108" s="15" t="inlineStr">
        <is>
          <t>Participants who invested further during the project</t>
        </is>
      </c>
      <c r="D108" s="13" t="inlineStr">
        <is>
          <t>DK</t>
        </is>
      </c>
      <c r="E108" s="13" t="n">
        <v>2025</v>
      </c>
      <c r="F108" s="16" t="n">
        <v>65</v>
      </c>
      <c r="G108" s="13" t="inlineStr">
        <is>
          <t>%</t>
        </is>
      </c>
      <c r="H108" s="15" t="inlineStr">
        <is>
          <t>% of participating enterprises</t>
        </is>
      </c>
      <c r="I108" s="13" t="inlineStr"/>
      <c r="J108" s="14" t="inlineStr">
        <is>
          <t>DG3</t>
        </is>
      </c>
      <c r="K108" s="13" t="inlineStr">
        <is>
          <t>2026-09-12</t>
        </is>
      </c>
      <c r="L108" s="15" t="inlineStr"/>
    </row>
    <row r="109">
      <c r="A109" s="13" t="n">
        <v>108</v>
      </c>
      <c r="B109" s="14" t="inlineStr">
        <is>
          <t>DK.SME.SMVD.NOINV</t>
        </is>
      </c>
      <c r="C109" s="15" t="inlineStr">
        <is>
          <t>Participants with no further investment plans</t>
        </is>
      </c>
      <c r="D109" s="13" t="inlineStr">
        <is>
          <t>DK</t>
        </is>
      </c>
      <c r="E109" s="13" t="n">
        <v>2025</v>
      </c>
      <c r="F109" s="16" t="n">
        <v>2</v>
      </c>
      <c r="G109" s="13" t="inlineStr">
        <is>
          <t>%</t>
        </is>
      </c>
      <c r="H109" s="15" t="inlineStr">
        <is>
          <t>% of participating enterprises</t>
        </is>
      </c>
      <c r="I109" s="13" t="inlineStr"/>
      <c r="J109" s="14" t="inlineStr">
        <is>
          <t>DG3</t>
        </is>
      </c>
      <c r="K109" s="13" t="inlineStr">
        <is>
          <t>2026-09-12</t>
        </is>
      </c>
      <c r="L109" s="15" t="inlineStr"/>
    </row>
    <row r="110">
      <c r="A110" s="13" t="n">
        <v>109</v>
      </c>
      <c r="B110" s="14" t="inlineStr">
        <is>
          <t>DK.POP.TOT</t>
        </is>
      </c>
      <c r="C110" s="15" t="inlineStr">
        <is>
          <t>Resident population</t>
        </is>
      </c>
      <c r="D110" s="13" t="inlineStr">
        <is>
          <t>DK</t>
        </is>
      </c>
      <c r="E110" s="13" t="n">
        <v>2026</v>
      </c>
      <c r="F110" s="17" t="n">
        <v>6025603</v>
      </c>
      <c r="G110" s="13" t="inlineStr">
        <is>
          <t>count</t>
        </is>
      </c>
      <c r="H110" s="15" t="inlineStr">
        <is>
          <t>persons resident in Denmark</t>
        </is>
      </c>
      <c r="I110" s="13" t="inlineStr"/>
      <c r="J110" s="14" t="inlineStr">
        <is>
          <t>DST2</t>
        </is>
      </c>
      <c r="K110" s="13" t="inlineStr">
        <is>
          <t>2026-09-12</t>
        </is>
      </c>
      <c r="L110" s="15" t="inlineStr">
        <is>
          <t>As at 1 January 2026.</t>
        </is>
      </c>
    </row>
    <row r="111">
      <c r="A111" s="18" t="n">
        <v>110</v>
      </c>
      <c r="B111" s="19" t="inlineStr">
        <is>
          <t>DK.DGP.EXMP.N</t>
        </is>
      </c>
      <c r="C111" s="20" t="inlineStr">
        <is>
          <t>Citizens formally exempt from Digital Post</t>
        </is>
      </c>
      <c r="D111" s="18" t="inlineStr">
        <is>
          <t>DK</t>
        </is>
      </c>
      <c r="E111" s="18" t="n">
        <v>2025</v>
      </c>
      <c r="F111" s="21" t="n">
        <v>256000</v>
      </c>
      <c r="G111" s="18" t="inlineStr">
        <is>
          <t>count</t>
        </is>
      </c>
      <c r="H111" s="20" t="inlineStr">
        <is>
          <t>citizens aged 15+ resident in Denmark</t>
        </is>
      </c>
      <c r="I111" s="18" t="inlineStr">
        <is>
          <t>e</t>
        </is>
      </c>
      <c r="J111" s="19" t="inlineStr">
        <is>
          <t>DG1</t>
        </is>
      </c>
      <c r="K111" s="18" t="inlineStr">
        <is>
          <t>2026-09-12</t>
        </is>
      </c>
      <c r="L111" s="20" t="inlineStr">
        <is>
          <t>April 2025; source states approx. 256,000.</t>
        </is>
      </c>
    </row>
    <row r="112">
      <c r="A112" s="13" t="n">
        <v>111</v>
      </c>
      <c r="B112" s="14" t="inlineStr">
        <is>
          <t>DK.DGP.EXMP.N</t>
        </is>
      </c>
      <c r="C112" s="15" t="inlineStr">
        <is>
          <t>Citizens formally exempt from Digital Post</t>
        </is>
      </c>
      <c r="D112" s="13" t="inlineStr">
        <is>
          <t>DK</t>
        </is>
      </c>
      <c r="E112" s="13" t="n">
        <v>2026</v>
      </c>
      <c r="F112" s="17" t="n">
        <v>238479</v>
      </c>
      <c r="G112" s="13" t="inlineStr">
        <is>
          <t>count</t>
        </is>
      </c>
      <c r="H112" s="15" t="inlineStr">
        <is>
          <t>citizens aged 15+ resident in Denmark</t>
        </is>
      </c>
      <c r="I112" s="13" t="inlineStr"/>
      <c r="J112" s="14" t="inlineStr">
        <is>
          <t>DG1</t>
        </is>
      </c>
      <c r="K112" s="13" t="inlineStr">
        <is>
          <t>2026-09-12</t>
        </is>
      </c>
      <c r="L112" s="15" t="inlineStr">
        <is>
          <t>Q1 2026. Paired with the 4.7% rate, implies a 15+ base of about 5.07m.</t>
        </is>
      </c>
    </row>
    <row r="113">
      <c r="A113" s="18" t="n">
        <v>112</v>
      </c>
      <c r="B113" s="19" t="inlineStr">
        <is>
          <t>DK.GOV.DGP.SAVE.PLAN</t>
        </is>
      </c>
      <c r="C113" s="20" t="inlineStr">
        <is>
          <t>Digital Post: projected annual public saving</t>
        </is>
      </c>
      <c r="D113" s="18" t="inlineStr">
        <is>
          <t>DK</t>
        </is>
      </c>
      <c r="E113" s="18" t="n">
        <v>2016</v>
      </c>
      <c r="F113" s="22" t="n">
        <v>1000</v>
      </c>
      <c r="G113" s="18" t="inlineStr">
        <is>
          <t>million DKK per year</t>
        </is>
      </c>
      <c r="H113" s="20" t="inlineStr">
        <is>
          <t>projected annual saving, whole public sector</t>
        </is>
      </c>
      <c r="I113" s="18" t="inlineStr">
        <is>
          <t>e</t>
        </is>
      </c>
      <c r="J113" s="19" t="inlineStr">
        <is>
          <t>RR1</t>
        </is>
      </c>
      <c r="K113" s="18" t="inlineStr">
        <is>
          <t>2026-09-12</t>
        </is>
      </c>
      <c r="L113" s="20" t="inlineStr">
        <is>
          <t>Ministry of Finance business case; Rigsrevisionen reports it as 'approx. 1bn'.</t>
        </is>
      </c>
    </row>
    <row r="114">
      <c r="A114" s="18" t="n">
        <v>113</v>
      </c>
      <c r="B114" s="19" t="inlineStr">
        <is>
          <t>DK.GOV.DGP.SAVE.VERIF</t>
        </is>
      </c>
      <c r="C114" s="20" t="inlineStr">
        <is>
          <t>Digital Post: annual saving verifiable by audit</t>
        </is>
      </c>
      <c r="D114" s="18" t="inlineStr">
        <is>
          <t>DK</t>
        </is>
      </c>
      <c r="E114" s="18" t="n">
        <v>2016</v>
      </c>
      <c r="F114" s="22" t="n">
        <v>450</v>
      </c>
      <c r="G114" s="18" t="inlineStr">
        <is>
          <t>million DKK per year</t>
        </is>
      </c>
      <c r="H114" s="20" t="inlineStr">
        <is>
          <t>verified annual saving, whole public sector</t>
        </is>
      </c>
      <c r="I114" s="18" t="inlineStr">
        <is>
          <t>e</t>
        </is>
      </c>
      <c r="J114" s="19" t="inlineStr">
        <is>
          <t>RR1</t>
        </is>
      </c>
      <c r="K114" s="18" t="inlineStr">
        <is>
          <t>2026-09-12</t>
        </is>
      </c>
      <c r="L114" s="20" t="inlineStr">
        <is>
          <t>Postage, paper and envelopes only. The wage and overhead component was never verified: the cross-government study was abandoned after KL declined to take part.</t>
        </is>
      </c>
    </row>
  </sheetData>
  <autoFilter ref="A1:L1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44" customWidth="1" min="3" max="3"/>
    <col width="24" customWidth="1" min="4" max="4"/>
    <col width="56" customWidth="1" min="5" max="5"/>
    <col width="12" customWidth="1" min="6" max="6"/>
    <col width="76" customWidth="1" min="7" max="7"/>
  </cols>
  <sheetData>
    <row r="1" ht="28" customHeight="1">
      <c r="A1" s="8" t="inlineStr">
        <is>
          <t>source_id</t>
        </is>
      </c>
      <c r="B1" s="8" t="inlineStr">
        <is>
          <t>authority</t>
        </is>
      </c>
      <c r="C1" s="8" t="inlineStr">
        <is>
          <t>publication</t>
        </is>
      </c>
      <c r="D1" s="8" t="inlineStr">
        <is>
          <t>dataset code</t>
        </is>
      </c>
      <c r="E1" s="8" t="inlineStr">
        <is>
          <t>URL</t>
        </is>
      </c>
      <c r="F1" s="8" t="inlineStr">
        <is>
          <t>accessed</t>
        </is>
      </c>
      <c r="G1" s="8" t="inlineStr">
        <is>
          <t>RMIT Harvard reference</t>
        </is>
      </c>
    </row>
    <row r="2" ht="46" customHeight="1">
      <c r="A2" s="23" t="inlineStr">
        <is>
          <t>NB1</t>
        </is>
      </c>
      <c r="B2" s="15" t="inlineStr">
        <is>
          <t>Danmarks Nationalbank</t>
        </is>
      </c>
      <c r="C2" s="15" t="inlineStr">
        <is>
          <t>Danskernes betalingsvaner</t>
        </is>
      </c>
      <c r="D2" s="15" t="inlineStr"/>
      <c r="E2" s="15" t="inlineStr">
        <is>
          <t>https://www.nationalbanken.dk/en/what-we-do/safe-and-efficient-payments/payment-habits-in-denmark</t>
        </is>
      </c>
      <c r="F2" s="15" t="inlineStr">
        <is>
          <t>2026-09-12</t>
        </is>
      </c>
      <c r="G2" s="15" t="inlineStr">
        <is>
          <t>Danmarks Nationalbank 2025, Danskernes betalingsvaner, Danmarks Nationalbank, Copenhagen, accessed 12 September 2026, &lt;https://www.nationalbanken.dk/en/what-we-do/safe-and-efficient-payments/payment-habits-in-denmark&gt;.</t>
        </is>
      </c>
    </row>
    <row r="3" ht="46" customHeight="1">
      <c r="A3" s="23" t="inlineStr">
        <is>
          <t>NB2</t>
        </is>
      </c>
      <c r="B3" s="15" t="inlineStr">
        <is>
          <t>Danmarks Nationalbank</t>
        </is>
      </c>
      <c r="C3" s="15" t="inlineStr">
        <is>
          <t>[REFERENCE ONLY - supports argument in the report; no workbook value depends on it] Danskerne betaler mere digitalt - det goer offline-betalinger endnu vigtigere som beredskab (press release, 26 June 2026)</t>
        </is>
      </c>
      <c r="D3" s="15" t="inlineStr"/>
      <c r="E3" s="15" t="inlineStr">
        <is>
          <t>https://www.nationalbanken.dk/da/viden-og-nyheder/presse/arkiv/2026/danskerne-betaler-mere-digitalt-det-goer-offline-betalinger-endnu-vigtigere-som-beredskab-26-06-2026</t>
        </is>
      </c>
      <c r="F3" s="15" t="inlineStr">
        <is>
          <t>2026-09-12</t>
        </is>
      </c>
      <c r="G3" s="15" t="inlineStr">
        <is>
          <t>Danmarks Nationalbank 2026, Danskerne betaler mere digitalt - det goer offline-betalinger endnu vigtigere som beredskab, press release, 26 June, Danmarks Nationalbank, Copenhagen, accessed 12 September 2026.</t>
        </is>
      </c>
    </row>
    <row r="4" ht="46" customHeight="1">
      <c r="A4" s="23" t="inlineStr">
        <is>
          <t>FD1</t>
        </is>
      </c>
      <c r="B4" s="15" t="inlineStr">
        <is>
          <t>Finans Danmark</t>
        </is>
      </c>
      <c r="C4" s="15" t="inlineStr">
        <is>
          <t>Institutter, filialer &amp; ansatte</t>
        </is>
      </c>
      <c r="D4" s="15" t="inlineStr"/>
      <c r="E4" s="15" t="inlineStr">
        <is>
          <t>https://finansdanmark.dk/tal-og-data/institutter-filialer-ansatte/</t>
        </is>
      </c>
      <c r="F4" s="15" t="inlineStr">
        <is>
          <t>2026-09-12</t>
        </is>
      </c>
      <c r="G4" s="15" t="inlineStr">
        <is>
          <t>Finans Danmark 2025, Institutter, filialer &amp; ansatte, Finans Danmark, Copenhagen, accessed 12 September 2026, &lt;https://finansdanmark.dk/tal-og-data/institutter-filialer-ansatte/&gt;.</t>
        </is>
      </c>
    </row>
    <row r="5" ht="46" customHeight="1">
      <c r="A5" s="23" t="inlineStr">
        <is>
          <t>ES1</t>
        </is>
      </c>
      <c r="B5" s="15" t="inlineStr">
        <is>
          <t>Eurostat</t>
        </is>
      </c>
      <c r="C5" s="15" t="inlineStr">
        <is>
          <t>E-commerce statistics for individuals (Statistics Explained)</t>
        </is>
      </c>
      <c r="D5" s="15" t="inlineStr">
        <is>
          <t>isoc_ec_ib20 / isoc_ec_ibuy</t>
        </is>
      </c>
      <c r="E5" s="15" t="inlineStr">
        <is>
          <t>https://ec.europa.eu/eurostat/statistics-explained/index.php?title=E-commerce_statistics_for_individuals</t>
        </is>
      </c>
      <c r="F5" s="15" t="inlineStr">
        <is>
          <t>2026-09-12</t>
        </is>
      </c>
      <c r="G5" s="15" t="inlineStr">
        <is>
          <t>Eurostat 2025, E-commerce statistics for individuals, Statistics Explained, European Commission, Luxembourg, accessed 12 September 2026.</t>
        </is>
      </c>
    </row>
    <row r="6" ht="46" customHeight="1">
      <c r="A6" s="23" t="inlineStr">
        <is>
          <t>ES2</t>
        </is>
      </c>
      <c r="B6" s="15" t="inlineStr">
        <is>
          <t>Eurostat</t>
        </is>
      </c>
      <c r="C6" s="15" t="inlineStr">
        <is>
          <t>Online shopping ever more popular in 2020 (ddn-20210217-1)</t>
        </is>
      </c>
      <c r="D6" s="15" t="inlineStr">
        <is>
          <t>isoc_ec_ib20</t>
        </is>
      </c>
      <c r="E6" s="15" t="inlineStr">
        <is>
          <t>https://ec.europa.eu/eurostat/web/products-eurostat-news/-/ddn-20210217-1</t>
        </is>
      </c>
      <c r="F6" s="15" t="inlineStr">
        <is>
          <t>2026-09-12</t>
        </is>
      </c>
      <c r="G6" s="15" t="inlineStr">
        <is>
          <t>Eurostat 2021, Online shopping ever more popular in 2020, European Commission, Luxembourg, accessed 12 September 2026.</t>
        </is>
      </c>
    </row>
    <row r="7" ht="46" customHeight="1">
      <c r="A7" s="23" t="inlineStr">
        <is>
          <t>ES3</t>
        </is>
      </c>
      <c r="B7" s="15" t="inlineStr">
        <is>
          <t>Eurostat</t>
        </is>
      </c>
      <c r="C7" s="15" t="inlineStr">
        <is>
          <t>Online shopping ever more popular (ddn-20220202-1)</t>
        </is>
      </c>
      <c r="D7" s="15" t="inlineStr">
        <is>
          <t>isoc_ec_ib20</t>
        </is>
      </c>
      <c r="E7" s="15" t="inlineStr">
        <is>
          <t>https://ec.europa.eu/eurostat/web/products-eurostat-news/-/ddn-20220202-1</t>
        </is>
      </c>
      <c r="F7" s="15" t="inlineStr">
        <is>
          <t>2026-09-12</t>
        </is>
      </c>
      <c r="G7" s="15" t="inlineStr">
        <is>
          <t>Eurostat 2022, Online shopping ever more popular, European Commission, Luxembourg, accessed 12 September 2026.</t>
        </is>
      </c>
    </row>
    <row r="8" ht="46" customHeight="1">
      <c r="A8" s="23" t="inlineStr">
        <is>
          <t>ES4</t>
        </is>
      </c>
      <c r="B8" s="15" t="inlineStr">
        <is>
          <t>Eurostat</t>
        </is>
      </c>
      <c r="C8" s="15" t="inlineStr">
        <is>
          <t>E-commerce statistics for individuals, 2024 reference year (ddn-20250220-3)</t>
        </is>
      </c>
      <c r="D8" s="15" t="inlineStr">
        <is>
          <t>isoc_ec_ib20</t>
        </is>
      </c>
      <c r="E8" s="15" t="inlineStr">
        <is>
          <t>https://ec.europa.eu/eurostat/web/products-eurostat-news/w/ddn-20250220-3</t>
        </is>
      </c>
      <c r="F8" s="15" t="inlineStr">
        <is>
          <t>2026-09-12</t>
        </is>
      </c>
      <c r="G8" s="15" t="inlineStr">
        <is>
          <t>Eurostat 2025, E-commerce statistics for individuals, European Commission, Luxembourg, accessed 12 September 2026.</t>
        </is>
      </c>
    </row>
    <row r="9" ht="46" customHeight="1">
      <c r="A9" s="23" t="inlineStr">
        <is>
          <t>ES5</t>
        </is>
      </c>
      <c r="B9" s="15" t="inlineStr">
        <is>
          <t>Eurostat</t>
        </is>
      </c>
      <c r="C9" s="15" t="inlineStr">
        <is>
          <t>EU enterprises' online sales reach new heights in 2023 (ddn-20250227-2)</t>
        </is>
      </c>
      <c r="D9" s="15" t="inlineStr">
        <is>
          <t>isoc_ec_evaln2 / tin00110</t>
        </is>
      </c>
      <c r="E9" s="15" t="inlineStr">
        <is>
          <t>https://ec.europa.eu/eurostat/web/products-eurostat-news/w/ddn-20250227-2</t>
        </is>
      </c>
      <c r="F9" s="15" t="inlineStr">
        <is>
          <t>2026-09-12</t>
        </is>
      </c>
      <c r="G9" s="15" t="inlineStr">
        <is>
          <t>Eurostat 2025, EU enterprises' online sales reach new heights, European Commission, Luxembourg, accessed 12 September 2026.</t>
        </is>
      </c>
    </row>
    <row r="10" ht="46" customHeight="1">
      <c r="A10" s="23" t="inlineStr">
        <is>
          <t>ES6</t>
        </is>
      </c>
      <c r="B10" s="15" t="inlineStr">
        <is>
          <t>Eurostat</t>
        </is>
      </c>
      <c r="C10" s="15" t="inlineStr">
        <is>
          <t>Share of enterprises' turnover on e-commerce, by country (country-level values retrieved via search of the Eurostat indicator)</t>
        </is>
      </c>
      <c r="D10" s="15" t="inlineStr">
        <is>
          <t>tin00110</t>
        </is>
      </c>
      <c r="E10" s="15" t="inlineStr">
        <is>
          <t>https://ec.europa.eu/eurostat/databrowser/view/tin00110/default/table?lang=en</t>
        </is>
      </c>
      <c r="F10" s="15" t="inlineStr">
        <is>
          <t>2026-09-12</t>
        </is>
      </c>
      <c r="G10" s="15" t="inlineStr">
        <is>
          <t>Eurostat 2025, Share of enterprises' turnover on e-commerce (tin00110), European Commission, Luxembourg, accessed 12 September 2026.</t>
        </is>
      </c>
    </row>
    <row r="11" ht="46" customHeight="1">
      <c r="A11" s="23" t="inlineStr">
        <is>
          <t>EC1</t>
        </is>
      </c>
      <c r="B11" s="15" t="inlineStr">
        <is>
          <t>European Commission</t>
        </is>
      </c>
      <c r="C11" s="15" t="inlineStr">
        <is>
          <t>Digital Decade 2026 country report: Denmark, SWD(2026) 155 final, Part 7/27, 17 June 2026</t>
        </is>
      </c>
      <c r="D11" s="15" t="inlineStr">
        <is>
          <t>DESI 2026</t>
        </is>
      </c>
      <c r="E11" s="15" t="inlineStr">
        <is>
          <t>https://digital-strategy.ec.europa.eu/en/policies/desi</t>
        </is>
      </c>
      <c r="F11" s="15" t="inlineStr">
        <is>
          <t>2026-09-12</t>
        </is>
      </c>
      <c r="G11" s="15" t="inlineStr">
        <is>
          <t>European Commission 2026, Digital Decade 2026 country report: Denmark, SWD(2026) 155 final, Part 7/27, European Commission, Brussels.</t>
        </is>
      </c>
    </row>
    <row r="12" ht="46" customHeight="1">
      <c r="A12" s="23" t="inlineStr">
        <is>
          <t>DG1</t>
        </is>
      </c>
      <c r="B12" s="15" t="inlineStr">
        <is>
          <t>Digitaliseringsstyrelsen (Danish Agency for Digital Government)</t>
        </is>
      </c>
      <c r="C12" s="15" t="inlineStr">
        <is>
          <t>Statistik om Digital Post</t>
        </is>
      </c>
      <c r="D12" s="15" t="inlineStr"/>
      <c r="E12" s="15" t="inlineStr">
        <is>
          <t>https://digst.dk/tal-og-statistik/</t>
        </is>
      </c>
      <c r="F12" s="15" t="inlineStr">
        <is>
          <t>2026-09-12</t>
        </is>
      </c>
      <c r="G12" s="15" t="inlineStr">
        <is>
          <t>Digitaliseringsstyrelsen 2026, Statistik om Digital Post, Agency for Digital Government, Copenhagen, accessed 12 September 2026.</t>
        </is>
      </c>
    </row>
    <row r="13" ht="46" customHeight="1">
      <c r="A13" s="23" t="inlineStr">
        <is>
          <t>DG2</t>
        </is>
      </c>
      <c r="B13" s="15" t="inlineStr">
        <is>
          <t>Digitaliseringsstyrelsen (Danish Agency for Digital Government)</t>
        </is>
      </c>
      <c r="C13" s="15" t="inlineStr">
        <is>
          <t>Hvem oplever udfordringer ved det digitale?</t>
        </is>
      </c>
      <c r="D13" s="15" t="inlineStr"/>
      <c r="E13" s="15" t="inlineStr">
        <is>
          <t>https://digst.dk/digital-inklusion/viden-om-digital-inklusion/hvem-oplever-udfordringer-ved-det-digitale/</t>
        </is>
      </c>
      <c r="F13" s="15" t="inlineStr">
        <is>
          <t>2026-09-12</t>
        </is>
      </c>
      <c r="G13" s="15" t="inlineStr">
        <is>
          <t>Digitaliseringsstyrelsen 2025, Hvem oplever udfordringer ved det digitale?, Agency for Digital Government, Copenhagen, accessed 12 September 2026.</t>
        </is>
      </c>
    </row>
    <row r="14" ht="46" customHeight="1">
      <c r="A14" s="23" t="inlineStr">
        <is>
          <t>DG3</t>
        </is>
      </c>
      <c r="B14" s="15" t="inlineStr">
        <is>
          <t>Digitaliseringsstyrelsen / Danmarks Statistik</t>
        </is>
      </c>
      <c r="C14" s="15" t="inlineStr">
        <is>
          <t>Effektmaaling af SMV:Digital, June 2025</t>
        </is>
      </c>
      <c r="D14" s="15" t="inlineStr"/>
      <c r="E14" s="15" t="inlineStr">
        <is>
          <t>https://digst.dk/media/yz2ouzzz/effektmaaling-af-smvdigital-2025.pdf</t>
        </is>
      </c>
      <c r="F14" s="15" t="inlineStr">
        <is>
          <t>2026-09-12</t>
        </is>
      </c>
      <c r="G14" s="15" t="inlineStr">
        <is>
          <t>Digitaliseringsstyrelsen 2025, Effektmaaling af SMV:Digital, prepared by Danmarks Statistik, Agency for Digital Government, Copenhagen, accessed 12 September 2026.</t>
        </is>
      </c>
    </row>
    <row r="15" ht="46" customHeight="1">
      <c r="A15" s="23" t="inlineStr">
        <is>
          <t>JU1</t>
        </is>
      </c>
      <c r="B15" s="15" t="inlineStr">
        <is>
          <t>Justitia (independent Danish legal think tank)</t>
        </is>
      </c>
      <c r="C15" s="15" t="inlineStr">
        <is>
          <t>Retssikkerhed for digitalt udsatte borgere, July 2022</t>
        </is>
      </c>
      <c r="D15" s="15" t="inlineStr">
        <is>
          <t>Folketinget DIU Alm.del bilag 32</t>
        </is>
      </c>
      <c r="E15" s="15" t="inlineStr">
        <is>
          <t>https://justitia-int.org/wp-content/uploads/2022/09/Rapport_Retssikkerhed-for-digitalt-udsatte-borgere-1.pdf</t>
        </is>
      </c>
      <c r="F15" s="15" t="inlineStr">
        <is>
          <t>2026-09-12</t>
        </is>
      </c>
      <c r="G15" s="15" t="inlineStr">
        <is>
          <t>Justitia 2022, Retssikkerhed for digitalt udsatte borgere, Justitia, Copenhagen, accessed 12 September 2026.</t>
        </is>
      </c>
    </row>
    <row r="16" ht="46" customHeight="1">
      <c r="A16" s="23" t="inlineStr">
        <is>
          <t>IMR1</t>
        </is>
      </c>
      <c r="B16" s="15" t="inlineStr">
        <is>
          <t>Institut for Menneskerettigheder (Danish Institute for Human Rights)</t>
        </is>
      </c>
      <c r="C16" s="15" t="inlineStr">
        <is>
          <t>[REFERENCE ONLY - supports argument in the report; no workbook value depends on it] Rettigheder i den digitale velfaerdsstat, December 2023</t>
        </is>
      </c>
      <c r="D16" s="15" t="inlineStr"/>
      <c r="E16" s="15" t="inlineStr">
        <is>
          <t>https://menneskeret.dk/sites/menneskeret.dk/files/media/document/Rettigheder%20i%20den%20digitale%20velf%C3%A6rdsstat.%20Analyse,%20Institut%20for%20Menneskerettigheder,%20december%202023.PDF</t>
        </is>
      </c>
      <c r="F16" s="15" t="inlineStr">
        <is>
          <t>2026-09-12</t>
        </is>
      </c>
      <c r="G16" s="15" t="inlineStr">
        <is>
          <t>Institut for Menneskerettigheder 2023, Rettigheder i den digitale velfaerdsstat, Danish Institute for Human Rights, Copenhagen, accessed 12 September 2026.</t>
        </is>
      </c>
    </row>
    <row r="17" ht="46" customHeight="1">
      <c r="A17" s="23" t="inlineStr">
        <is>
          <t>RI1</t>
        </is>
      </c>
      <c r="B17" s="15" t="inlineStr">
        <is>
          <t>Retsinformation (Danish official legal information portal)</t>
        </is>
      </c>
      <c r="C17" s="15" t="inlineStr">
        <is>
          <t>Lov om Offentlig Digital Post, LOV nr 528 af 11/06/2012</t>
        </is>
      </c>
      <c r="D17" s="15" t="inlineStr">
        <is>
          <t>ELI: lta/2012/528</t>
        </is>
      </c>
      <c r="E17" s="15" t="inlineStr">
        <is>
          <t>https://www.retsinformation.dk/eli/lta/2012/528</t>
        </is>
      </c>
      <c r="F17" s="15" t="inlineStr">
        <is>
          <t>2026-09-12</t>
        </is>
      </c>
      <c r="G17" s="15" t="inlineStr">
        <is>
          <t>Denmark 2012, Lov om Offentlig Digital Post (LOV nr 528 af 11/06/2012), Retsinformation, Copenhagen, accessed 12 September 2026.</t>
        </is>
      </c>
    </row>
    <row r="18" ht="46" customHeight="1">
      <c r="A18" s="23" t="inlineStr">
        <is>
          <t>RR1</t>
        </is>
      </c>
      <c r="B18" s="15" t="inlineStr">
        <is>
          <t>Rigsrevisionen (Danish National Audit Office)</t>
        </is>
      </c>
      <c r="C18" s="15" t="inlineStr">
        <is>
          <t>Beretning om besparelsespotentialet ved obligatorisk Digital Post paa ca. 1 mia. kr. om aaret, January 2016</t>
        </is>
      </c>
      <c r="D18" s="15" t="inlineStr"/>
      <c r="E18" s="15" t="inlineStr">
        <is>
          <t>https://www.rigsrevisionen.dk/revisionssager-arkiv/2016/jan/beretning-om-besparelsespotentialet-ved-obligatorisk-digital-post-paa-ca-1-mia-kr-om-aaret</t>
        </is>
      </c>
      <c r="F18" s="15" t="inlineStr">
        <is>
          <t>2026-09-12</t>
        </is>
      </c>
      <c r="G18" s="15" t="inlineStr">
        <is>
          <t>Rigsrevisionen 2016, Beretning om besparelsespotentialet ved obligatorisk Digital Post paa ca. 1 mia. kr. om aaret, National Audit Office of Denmark, Copenhagen, accessed 12 September 2026.</t>
        </is>
      </c>
    </row>
    <row r="19" ht="46" customHeight="1">
      <c r="A19" s="23" t="inlineStr">
        <is>
          <t>RI2</t>
        </is>
      </c>
      <c r="B19" s="15" t="inlineStr">
        <is>
          <t>Finanstilsynet (Danish Financial Supervisory Authority)</t>
        </is>
      </c>
      <c r="C19" s="15" t="inlineStr">
        <is>
          <t>Kontantreglen - lov om betalinger section 81</t>
        </is>
      </c>
      <c r="D19" s="15" t="inlineStr">
        <is>
          <t>Lov om betalinger, ss 81</t>
        </is>
      </c>
      <c r="E19" s="15" t="inlineStr">
        <is>
          <t>https://www.finanstilsynet.dk/finansielle-temaer/betalingstjenester-og-e-penge/kontantreglen</t>
        </is>
      </c>
      <c r="F19" s="15" t="inlineStr">
        <is>
          <t>2026-09-12</t>
        </is>
      </c>
      <c r="G19" s="15" t="inlineStr">
        <is>
          <t>Finanstilsynet 2025, Kontantreglen, Danish Financial Supervisory Authority, Copenhagen, accessed 12 September 2026.</t>
        </is>
      </c>
    </row>
    <row r="20" ht="46" customHeight="1">
      <c r="A20" s="23" t="inlineStr">
        <is>
          <t>DG4</t>
        </is>
      </c>
      <c r="B20" s="15" t="inlineStr">
        <is>
          <t>Digitaliseringsstyrelsen (Danish Agency for Digital Government)</t>
        </is>
      </c>
      <c r="C20" s="15" t="inlineStr">
        <is>
          <t>Digital Post - lovgivning, and the MitID transition news archive</t>
        </is>
      </c>
      <c r="D20" s="15" t="inlineStr"/>
      <c r="E20" s="15" t="inlineStr">
        <is>
          <t>https://digst.dk/it-loesninger/digital-post/lovgivning/</t>
        </is>
      </c>
      <c r="F20" s="15" t="inlineStr">
        <is>
          <t>2026-09-12</t>
        </is>
      </c>
      <c r="G20" s="15" t="inlineStr">
        <is>
          <t>Digitaliseringsstyrelsen 2025, Digital Post - lovgivning, Agency for Digital Government, Copenhagen, accessed 12 September 2026.</t>
        </is>
      </c>
    </row>
    <row r="21" ht="46" customHeight="1">
      <c r="A21" s="23" t="inlineStr">
        <is>
          <t>SMV1</t>
        </is>
      </c>
      <c r="B21" s="15" t="inlineStr">
        <is>
          <t>SMV:Digital (Danish SME digitalisation grant scheme)</t>
        </is>
      </c>
      <c r="C21" s="15" t="inlineStr">
        <is>
          <t>Tilskudspuljer i 2026</t>
        </is>
      </c>
      <c r="D21" s="15" t="inlineStr"/>
      <c r="E21" s="15" t="inlineStr">
        <is>
          <t>https://smvdigital.dk/content/ydelser/tilskudspuljer-i-2026/8efa07f4-5032-47f4-b7fa-bab57412b762/</t>
        </is>
      </c>
      <c r="F21" s="15" t="inlineStr">
        <is>
          <t>2026-09-12</t>
        </is>
      </c>
      <c r="G21" s="15" t="inlineStr">
        <is>
          <t>SMV:Digital 2026, Tilskudspuljer i 2026, SMV:Digital, Copenhagen, accessed 12 September 2026.</t>
        </is>
      </c>
    </row>
    <row r="22" ht="46" customHeight="1">
      <c r="A22" s="23" t="inlineStr">
        <is>
          <t>DST2</t>
        </is>
      </c>
      <c r="B22" s="15" t="inlineStr">
        <is>
          <t>Danmarks Statistik</t>
        </is>
      </c>
      <c r="C22" s="15" t="inlineStr">
        <is>
          <t>Befolkningstal (population figures)</t>
        </is>
      </c>
      <c r="D22" s="15" t="inlineStr">
        <is>
          <t>StatBank FOLK1A</t>
        </is>
      </c>
      <c r="E22" s="15" t="inlineStr">
        <is>
          <t>https://www.dst.dk/da/Statistik/emner/borgere/befolkning/befolkningstal</t>
        </is>
      </c>
      <c r="F22" s="15" t="inlineStr">
        <is>
          <t>2026-09-12</t>
        </is>
      </c>
      <c r="G22" s="15" t="inlineStr">
        <is>
          <t>Danmarks Statistik 2026, Befolkningstal, Statistics Denmark, Copenhagen, accessed 12 September 2026.</t>
        </is>
      </c>
    </row>
    <row r="23" ht="46" customHeight="1">
      <c r="A23" s="23" t="inlineStr">
        <is>
          <t>ES7</t>
        </is>
      </c>
      <c r="B23" s="15" t="inlineStr">
        <is>
          <t>Eurostat</t>
        </is>
      </c>
      <c r="C23" s="15" t="inlineStr">
        <is>
          <t>Internet purchases by individuals (2020 onwards) - custom extraction, all individuals, last online purchase in the 12 months, percentage of individuals who used internet within the last year, 2024</t>
        </is>
      </c>
      <c r="D23" s="15" t="inlineStr">
        <is>
          <t>isoc_ec_ib20</t>
        </is>
      </c>
      <c r="E23" s="15" t="inlineStr">
        <is>
          <t>https://ec.europa.eu/eurostat/databrowser/view/isoc_ec_ib20/default/table?lang=en</t>
        </is>
      </c>
      <c r="F23" s="15" t="inlineStr">
        <is>
          <t>2026-09-12</t>
        </is>
      </c>
      <c r="G23" s="15" t="inlineStr">
        <is>
          <t>Eurostat 2026, Internet purchases by individuals (2020 onwards), dataset isoc_ec_ib20, Statistical Office of the European Union, Luxembourg, data last updated 17 April 2026, accessed 12 September 2026, &lt;https://ec.europa.eu/eurostat/databrowser/view/isoc_ec_ib20/default/table?lang=en&gt;.</t>
        </is>
      </c>
    </row>
    <row r="24" ht="46" customHeight="1">
      <c r="A24" s="23" t="inlineStr">
        <is>
          <t>DST1</t>
        </is>
      </c>
      <c r="B24" s="15" t="inlineStr">
        <is>
          <t>Danmarks Statistik</t>
        </is>
      </c>
      <c r="C24" s="15" t="inlineStr">
        <is>
          <t>Detailomsaetningsindeks (retail trade turnover index)</t>
        </is>
      </c>
      <c r="D24" s="15" t="inlineStr">
        <is>
          <t>StatBank; base year rebased 2015 -&gt; 2021</t>
        </is>
      </c>
      <c r="E24" s="15" t="inlineStr">
        <is>
          <t>https://www.dst.dk/da/Statistik/dokumentation/statistikdokumentation/detailomsaetningsindeks</t>
        </is>
      </c>
      <c r="F24" s="15" t="inlineStr">
        <is>
          <t>2026-09-12</t>
        </is>
      </c>
      <c r="G24" s="15" t="inlineStr">
        <is>
          <t>Danmarks Statistik 2025, Detailomsaetningsindeks, Statistics Denmark, Copenhagen, accessed 12 September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72" customWidth="1" min="3" max="3"/>
  </cols>
  <sheetData>
    <row r="1" ht="28" customHeight="1">
      <c r="A1" s="8" t="inlineStr">
        <is>
          <t>series_code</t>
        </is>
      </c>
      <c r="B1" s="8" t="inlineStr">
        <is>
          <t>what it measures</t>
        </is>
      </c>
      <c r="C1" s="8" t="inlineStr">
        <is>
          <t>what it excludes / watch for</t>
        </is>
      </c>
    </row>
    <row r="2" ht="30" customHeight="1">
      <c r="A2" s="24" t="inlineStr">
        <is>
          <t>PREFIXES: definitions below are written against the DK.* codes. The same definition applies to the identical indicator for any other geography - EU.*, and the member-state codes AT.* through SE.* used in F5_EU27 and F6_ADOPT_BENEFIT. Only the geography changes; the measure and its denominator do not.</t>
        </is>
      </c>
    </row>
    <row r="3" ht="44" customHeight="1">
      <c r="A3" s="25" t="inlineStr">
        <is>
          <t>DK.PAY.CASH.POS</t>
        </is>
      </c>
      <c r="B3" s="15" t="inlineStr">
        <is>
          <t>Cash as a share of the NUMBER of payments made at physical points of sale.</t>
        </is>
      </c>
      <c r="C3" s="15" t="inlineStr">
        <is>
          <t>Not a share of value. Excludes e-commerce entirely.</t>
        </is>
      </c>
    </row>
    <row r="4" ht="44" customHeight="1">
      <c r="A4" s="25" t="inlineStr">
        <is>
          <t>DK.PAY.CRD.PHYS</t>
        </is>
      </c>
      <c r="B4" s="15" t="inlineStr">
        <is>
          <t>Physical payment cards as a share of the number of in-store payments.</t>
        </is>
      </c>
      <c r="C4" s="15" t="inlineStr">
        <is>
          <t>Falls partly because wallets replace the physical card, not because card payment declines.</t>
        </is>
      </c>
    </row>
    <row r="5" ht="44" customHeight="1">
      <c r="A5" s="25" t="inlineStr">
        <is>
          <t>DK.PAY.WLT.SHR</t>
        </is>
      </c>
      <c r="B5" s="15" t="inlineStr">
        <is>
          <t>Card-based mobile wallets as a share of the number of in-store payments.</t>
        </is>
      </c>
      <c r="C5" s="15" t="inlineStr">
        <is>
          <t>Wallet payments are card payments. Do not add to the card share.</t>
        </is>
      </c>
    </row>
    <row r="6" ht="44" customHeight="1">
      <c r="A6" s="25" t="inlineStr">
        <is>
          <t>DK.PAY.WLT.OWN</t>
        </is>
      </c>
      <c r="B6" s="15" t="inlineStr">
        <is>
          <t>Share of CITIZENS with a wallet solution on their phone.</t>
        </is>
      </c>
      <c r="C6" s="15" t="inlineStr">
        <is>
          <t>Different denominator from the payment-share series. Memo only - deliberately excluded from Figure 2.</t>
        </is>
      </c>
    </row>
    <row r="7" ht="44" customHeight="1">
      <c r="A7" s="25" t="inlineStr">
        <is>
          <t>DK.FIN.BRCH</t>
        </is>
      </c>
      <c r="B7" s="15" t="inlineStr">
        <is>
          <t>Number of retail bank branches operated by Danish credit institutions.</t>
        </is>
      </c>
      <c r="C7" s="15" t="inlineStr">
        <is>
          <t>Consolidation and digitalisation both reduce this. The series alone cannot separate the two causes.</t>
        </is>
      </c>
    </row>
    <row r="8" ht="44" customHeight="1">
      <c r="A8" s="25" t="inlineStr">
        <is>
          <t>DK.ECM.IND.BUY</t>
        </is>
      </c>
      <c r="B8" s="15" t="inlineStr">
        <is>
          <t>Individuals who purchased goods or services online in the last 12 months.</t>
        </is>
      </c>
      <c r="C8" s="15" t="inlineStr">
        <is>
          <t>DENOMINATOR BREAK at 2020: % of individuals before, % of internet users after. Never plot 2019 with later years.</t>
        </is>
      </c>
    </row>
    <row r="9" ht="44" customHeight="1">
      <c r="A9" s="25" t="inlineStr">
        <is>
          <t>DK.ECM.ENT.TRN</t>
        </is>
      </c>
      <c r="B9" s="15" t="inlineStr">
        <is>
          <t>E-commerce sales as a share of total enterprise turnover.</t>
        </is>
      </c>
      <c r="C9" s="15" t="inlineStr">
        <is>
          <t>Measures INTENSITY of online selling, not how many firms sell online. Pair with DK.ECM.ENT.SHR.</t>
        </is>
      </c>
    </row>
    <row r="10" ht="44" customHeight="1">
      <c r="A10" s="25" t="inlineStr">
        <is>
          <t>DK.ECM.ENT.SHR</t>
        </is>
      </c>
      <c r="B10" s="15" t="inlineStr">
        <is>
          <t>Share of enterprises making any e-sales.</t>
        </is>
      </c>
      <c r="C10" s="15" t="inlineStr">
        <is>
          <t>Measures BREADTH of adoption. Flat breadth with rising intensity means incumbents deepening, not new entrants.</t>
        </is>
      </c>
    </row>
    <row r="11" ht="44" customHeight="1">
      <c r="A11" s="25" t="inlineStr">
        <is>
          <t>DK.DGP.EXMP</t>
        </is>
      </c>
      <c r="B11" s="15" t="inlineStr">
        <is>
          <t>Citizens formally exempt from mandatory Digital Post under the statutory exemption regime.</t>
        </is>
      </c>
      <c r="C11" s="15" t="inlineStr">
        <is>
          <t>An administrative status, not a measure of capability. A citizen may struggle without being exempt.</t>
        </is>
      </c>
    </row>
    <row r="12" ht="44" customHeight="1">
      <c r="A12" s="25" t="inlineStr">
        <is>
          <t>DK.DGX.DIFF</t>
        </is>
      </c>
      <c r="B12" s="15" t="inlineStr">
        <is>
          <t>Population estimated to face difficulties using digital public services.</t>
        </is>
      </c>
      <c r="C12" s="15" t="inlineStr">
        <is>
          <t>A capability estimate, not an administrative count. Much larger than the exemption rate - that gap is the analytical point.</t>
        </is>
      </c>
    </row>
    <row r="13" ht="44" customHeight="1">
      <c r="A13" s="25" t="inlineStr">
        <is>
          <t>DK.DGX.JUST</t>
        </is>
      </c>
      <c r="B13" s="15" t="inlineStr">
        <is>
          <t>Justitia's estimate of the digitally disadvantaged adult population.</t>
        </is>
      </c>
      <c r="C13" s="15" t="inlineStr">
        <is>
          <t>Think-tank estimate, broadest definition of the five. Cite as an upper bound, not as an official statistic.</t>
        </is>
      </c>
    </row>
    <row r="14" ht="44" customHeight="1">
      <c r="A14" s="25" t="inlineStr">
        <is>
          <t>DK.GOV.DPS.CIT</t>
        </is>
      </c>
      <c r="B14" s="15" t="inlineStr">
        <is>
          <t>eGovernment Benchmark composite score for citizen-facing digital public services.</t>
        </is>
      </c>
      <c r="C14" s="15" t="inlineStr">
        <is>
          <t>A composite index, not a usage rate. Denmark scores BELOW the EU average despite near-universal mandated use.</t>
        </is>
      </c>
    </row>
    <row r="15" ht="44" customHeight="1">
      <c r="A15" s="25" t="inlineStr">
        <is>
          <t>DK.ENV.WEEE</t>
        </is>
      </c>
      <c r="B15" s="15" t="inlineStr">
        <is>
          <t>Share of collected ICT-related electrical waste recycled or prepared for reuse.</t>
        </is>
      </c>
      <c r="C15" s="15" t="inlineStr">
        <is>
          <t>Covers two WEEE categories only. Denominator is waste COLLECTED, not waste generated.</t>
        </is>
      </c>
    </row>
    <row r="16" ht="44" customHeight="1">
      <c r="A16" s="25" t="inlineStr">
        <is>
          <t>DK.PAY.DIG.POS.NUM, DK.PAY.DIG.POS.VAL</t>
        </is>
      </c>
      <c r="B16" s="15" t="inlineStr">
        <is>
          <t>Digital share of physical-retail payments, by NUMBER and by VALUE respectively.</t>
        </is>
      </c>
      <c r="C16" s="15" t="inlineStr">
        <is>
          <t>Two different denominators. The value share exceeds the number share because cash survives in small transactions. Never quote one as the other, and never average them.</t>
        </is>
      </c>
    </row>
    <row r="17" ht="44" customHeight="1">
      <c r="A17" s="25" t="inlineStr">
        <is>
          <t>DK.FIN.INST</t>
        </is>
      </c>
      <c r="B17" s="15" t="inlineStr">
        <is>
          <t>Number of financial institutions (credit institutions) operating in Denmark.</t>
        </is>
      </c>
      <c r="C17" s="15" t="inlineStr">
        <is>
          <t>Base year 1991. Do NOT difference against DK.FIN.BRCH, which starts in 2004 - see F9_CONSOLIDATION.</t>
        </is>
      </c>
    </row>
    <row r="18" ht="44" customHeight="1">
      <c r="A18" s="25" t="inlineStr">
        <is>
          <t>DK.FIN.EMP</t>
        </is>
      </c>
      <c r="B18" s="15" t="inlineStr">
        <is>
          <t>Number of persons employed by Danish banks.</t>
        </is>
      </c>
      <c r="C18" s="15" t="inlineStr">
        <is>
          <t>Base year 1991, so comparable with DK.FIN.INST but NOT with the branch series. Falls far less than institutions - that asymmetry is the finding in F9_CONSOLIDATION, not a data error.</t>
        </is>
      </c>
    </row>
    <row r="19" ht="44" customHeight="1">
      <c r="A19" s="25" t="inlineStr">
        <is>
          <t>DK.SKL.1624, DK.SKL.2554, DK.SKL.5574
(EU.SKL.1624, EU.SKL.2554, EU.SKL.5574)</t>
        </is>
      </c>
      <c r="B19" s="15" t="inlineStr">
        <is>
          <t>Individuals with at least basic overall digital skills, by age band. EU.SKL.* are the matching EU-27 comparators.</t>
        </is>
      </c>
      <c r="C19" s="15" t="inlineStr">
        <is>
          <t>Age bands, not a time series - all three are the same reference year. The DIGCOMP methodology was revised in 2021; do not join to pre-2021 skills figures.</t>
        </is>
      </c>
    </row>
    <row r="20" ht="44" customHeight="1">
      <c r="A20" s="25" t="inlineStr">
        <is>
          <t>DK.DGP.EXMP.N</t>
        </is>
      </c>
      <c r="B20" s="15" t="inlineStr">
        <is>
          <t>Citizens formally exempt from Digital Post, as a HEADCOUNT.</t>
        </is>
      </c>
      <c r="C20" s="15" t="inlineStr">
        <is>
          <t>A count, not a rate. Converting between this and DK.DGP.EXMP requires DK.POP.TOT and an assumption about the 15+ denominator - see 07_LIMITATIONS.</t>
        </is>
      </c>
    </row>
    <row r="21" ht="44" customHeight="1">
      <c r="A21" s="25" t="inlineStr">
        <is>
          <t>DK.DGP.EXMP.7584, DK.DGP.EXMP.85P</t>
        </is>
      </c>
      <c r="B21" s="15" t="inlineStr">
        <is>
          <t>Digital Post exemption rate within the 75-84 and 85+ age bands.</t>
        </is>
      </c>
      <c r="C21" s="15" t="inlineStr">
        <is>
          <t>Denominator is the age group, not the population. These are far above the headline 4.7% and must not be compared with it directly.</t>
        </is>
      </c>
    </row>
    <row r="22" ht="44" customHeight="1">
      <c r="A22" s="25" t="inlineStr">
        <is>
          <t>DK.DGX.NOUSE</t>
        </is>
      </c>
      <c r="B22" s="15" t="inlineStr">
        <is>
          <t>Individuals who do not use digital public services at all.</t>
        </is>
      </c>
      <c r="C22" s="15" t="inlineStr">
        <is>
          <t>Non-use, not inability. Includes those with no need to transact as well as those unable to.</t>
        </is>
      </c>
    </row>
    <row r="23" ht="44" customHeight="1">
      <c r="A23" s="25" t="inlineStr">
        <is>
          <t>DK.DGX.DISADV.LO, DK.DGX.DISADV.HI</t>
        </is>
      </c>
      <c r="B23" s="15" t="inlineStr">
        <is>
          <t>Lower and upper bound of the 'digitally disadvantaged' adult population.</t>
        </is>
      </c>
      <c r="C23" s="15" t="inlineStr">
        <is>
          <t>A RANGE published as a range. Quote both bounds; citing either alone misrepresents the source's own uncertainty.</t>
        </is>
      </c>
    </row>
    <row r="24" ht="44" customHeight="1">
      <c r="A24" s="25" t="inlineStr">
        <is>
          <t>DK.POP.TOT</t>
        </is>
      </c>
      <c r="B24" s="15" t="inlineStr">
        <is>
          <t>Resident population of Denmark.</t>
        </is>
      </c>
      <c r="C24" s="15" t="inlineStr">
        <is>
          <t>Used only as a denominator for converting headcounts to rates. Total residents, not the 15+ base the exemption rate actually uses.</t>
        </is>
      </c>
    </row>
    <row r="25" ht="44" customHeight="1">
      <c r="A25" s="25" t="inlineStr">
        <is>
          <t>DK.TRU.DPS</t>
        </is>
      </c>
      <c r="B25" s="15" t="inlineStr">
        <is>
          <t>Share of the population expressing trust in digital public solutions.</t>
        </is>
      </c>
      <c r="C25" s="15" t="inlineStr">
        <is>
          <t>Self-reported attitude, not behaviour. High trust coexists with the exclusion measures in F4 - the two are not in contradiction.</t>
        </is>
      </c>
    </row>
    <row r="26" ht="44" customHeight="1">
      <c r="A26" s="25" t="inlineStr">
        <is>
          <t>DK.TRU.DGP.SEC</t>
        </is>
      </c>
      <c r="B26" s="15" t="inlineStr">
        <is>
          <t>Share of the population perceiving Digital Post as secure.</t>
        </is>
      </c>
      <c r="C26" s="15" t="inlineStr">
        <is>
          <t>Narrower than DK.TRU.DPS: one service, not the whole system. Do not treat the two as one series.</t>
        </is>
      </c>
    </row>
    <row r="27" ht="44" customHeight="1">
      <c r="A27" s="25" t="inlineStr">
        <is>
          <t>DK.ENT.DII</t>
        </is>
      </c>
      <c r="B27" s="15" t="inlineStr">
        <is>
          <t>SMEs reaching at least basic digital intensity (DII).</t>
        </is>
      </c>
      <c r="C27" s="15" t="inlineStr">
        <is>
          <t>A composite threshold count of adopted technologies, not an intensity of use. A firm clears it by adopting breadth cheaply.</t>
        </is>
      </c>
    </row>
    <row r="28" ht="44" customHeight="1">
      <c r="A28" s="25" t="inlineStr">
        <is>
          <t>DK.ENT.AI, DK.ENT.AI.LRG, DK.ENT.AI.SME</t>
        </is>
      </c>
      <c r="B28" s="15" t="inlineStr">
        <is>
          <t>Enterprises adopting AI: all, large (250+) and SMEs (10-249).</t>
        </is>
      </c>
      <c r="C28" s="15" t="inlineStr">
        <is>
          <t>The headline rate is close to the SME rate because SMEs dominate by count. The large-firm gap is the real dispersion - report the split, not just the average.</t>
        </is>
      </c>
    </row>
    <row r="29" ht="44" customHeight="1">
      <c r="A29" s="25" t="inlineStr">
        <is>
          <t>DK.GOV.DPS.XB</t>
        </is>
      </c>
      <c r="B29" s="15" t="inlineStr">
        <is>
          <t>eGovernment Benchmark score for CROSS-BORDER citizen services.</t>
        </is>
      </c>
      <c r="C29" s="15" t="inlineStr">
        <is>
          <t>Scored against a different service basket from DK.GOV.DPS.CIT. Lower is not evidence of decline; it is a different test.</t>
        </is>
      </c>
    </row>
    <row r="30" ht="44" customHeight="1">
      <c r="A30" s="25" t="inlineStr">
        <is>
          <t>DK.GOV.DGP.SAVE.PLAN, DK.GOV.DGP.SAVE.VERIF</t>
        </is>
      </c>
      <c r="B30" s="15" t="inlineStr">
        <is>
          <t>Digital Post annual public saving: as projected, and as verifiable by audit.</t>
        </is>
      </c>
      <c r="C30" s="15" t="inlineStr">
        <is>
          <t>The pair exists to be compared - the verified figure is well under half the projection. Never cite the projection alone as a realised saving.</t>
        </is>
      </c>
    </row>
    <row r="31" ht="44" customHeight="1">
      <c r="A31" s="25" t="inlineStr">
        <is>
          <t>DK.SME.SMVD.PROJ, DK.SME.SMVD.INV, DK.SME.SMVD.NOINV</t>
        </is>
      </c>
      <c r="B31" s="15" t="inlineStr">
        <is>
          <t>SMV:Digital programme: projects supported, and participants who did or did not invest further.</t>
        </is>
      </c>
      <c r="C31" s="15" t="inlineStr">
        <is>
          <t>Self-reported by participants, with no control group. Cannot support a causal claim about the programme - see the withdrawn claim in 07_LIMITATIONS and 08_AI_LOG.</t>
        </is>
      </c>
    </row>
  </sheetData>
  <mergeCells count="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46" customWidth="1" min="1" max="1"/>
    <col width="16" customWidth="1" min="2" max="2"/>
    <col width="14" customWidth="1" min="3" max="3"/>
    <col width="74" customWidth="1" min="4" max="4"/>
  </cols>
  <sheetData>
    <row r="1" ht="22" customHeight="1">
      <c r="A1" s="7" t="inlineStr">
        <is>
          <t>Derived quantities</t>
        </is>
      </c>
    </row>
    <row r="2">
      <c r="A2" s="26" t="inlineStr">
        <is>
          <t>Every cell below is a live formula over 02_MASTER. No pasted numbers.</t>
        </is>
      </c>
    </row>
    <row r="4" ht="28" customHeight="1">
      <c r="A4" s="8" t="inlineStr">
        <is>
          <t>quantity</t>
        </is>
      </c>
      <c r="B4" s="8" t="inlineStr">
        <is>
          <t>formula result</t>
        </is>
      </c>
      <c r="C4" s="8" t="inlineStr">
        <is>
          <t>unit</t>
        </is>
      </c>
      <c r="D4" s="8" t="inlineStr">
        <is>
          <t>how it is built</t>
        </is>
      </c>
    </row>
    <row r="5" ht="30" customHeight="1">
      <c r="A5" s="27" t="inlineStr">
        <is>
          <t>Bank branches, 2004</t>
        </is>
      </c>
      <c r="B5" s="28">
        <f>IF(COUNTIFS('02_MASTER'!$B:$B,"DK.FIN.BRCH",'02_MASTER'!$E:$E,2004)=0,"",SUMIFS('02_MASTER'!$F:$F,'02_MASTER'!$B:$B,"DK.FIN.BRCH",'02_MASTER'!$E:$E,2004))</f>
        <v/>
      </c>
      <c r="C5" s="29" t="inlineStr">
        <is>
          <t>count</t>
        </is>
      </c>
      <c r="D5" s="30" t="inlineStr">
        <is>
          <t>Direct lookup from 02_MASTER.</t>
        </is>
      </c>
    </row>
    <row r="6" ht="30" customHeight="1">
      <c r="A6" s="27" t="inlineStr">
        <is>
          <t>Bank branches, 2024</t>
        </is>
      </c>
      <c r="B6" s="28">
        <f>IF(COUNTIFS('02_MASTER'!$B:$B,"DK.FIN.BRCH",'02_MASTER'!$E:$E,2024)=0,"",SUMIFS('02_MASTER'!$F:$F,'02_MASTER'!$B:$B,"DK.FIN.BRCH",'02_MASTER'!$E:$E,2024))</f>
        <v/>
      </c>
      <c r="C6" s="29" t="inlineStr">
        <is>
          <t>count</t>
        </is>
      </c>
      <c r="D6" s="30" t="inlineStr">
        <is>
          <t>Direct lookup from 02_MASTER.</t>
        </is>
      </c>
    </row>
    <row r="7" ht="30" customHeight="1">
      <c r="A7" s="27" t="inlineStr">
        <is>
          <t>Branch network change, 2004-2024</t>
        </is>
      </c>
      <c r="B7" s="31">
        <f>(IF(COUNTIFS('02_MASTER'!$B:$B,"DK.FIN.BRCH",'02_MASTER'!$E:$E,2024)=0,"",SUMIFS('02_MASTER'!$F:$F,'02_MASTER'!$B:$B,"DK.FIN.BRCH",'02_MASTER'!$E:$E,2024))/IF(COUNTIFS('02_MASTER'!$B:$B,"DK.FIN.BRCH",'02_MASTER'!$E:$E,2004)=0,"",SUMIFS('02_MASTER'!$F:$F,'02_MASTER'!$B:$B,"DK.FIN.BRCH",'02_MASTER'!$E:$E,2004)))-1</f>
        <v/>
      </c>
      <c r="C7" s="29" t="inlineStr">
        <is>
          <t>%</t>
        </is>
      </c>
      <c r="D7" s="30" t="inlineStr">
        <is>
          <t>Headline structural change for Figure 1.</t>
        </is>
      </c>
    </row>
    <row r="8" ht="30" customHeight="1">
      <c r="A8" s="27" t="inlineStr">
        <is>
          <t>Cash share change, 2017-2025</t>
        </is>
      </c>
      <c r="B8" s="32">
        <f>IF(COUNTIFS('02_MASTER'!$B:$B,"DK.PAY.CASH.POS",'02_MASTER'!$E:$E,2025)=0,"",SUMIFS('02_MASTER'!$F:$F,'02_MASTER'!$B:$B,"DK.PAY.CASH.POS",'02_MASTER'!$E:$E,2025))-IF(COUNTIFS('02_MASTER'!$B:$B,"DK.PAY.CASH.POS",'02_MASTER'!$E:$E,2017)=0,"",SUMIFS('02_MASTER'!$F:$F,'02_MASTER'!$B:$B,"DK.PAY.CASH.POS",'02_MASTER'!$E:$E,2017))</f>
        <v/>
      </c>
      <c r="C8" s="29" t="inlineStr">
        <is>
          <t>pp</t>
        </is>
      </c>
      <c r="D8" s="30" t="inlineStr">
        <is>
          <t>Percentage-point change, not a growth rate - both terms are shares.</t>
        </is>
      </c>
    </row>
    <row r="9" ht="30" customHeight="1">
      <c r="A9" s="27" t="inlineStr">
        <is>
          <t>Cash share, proportional decline 2017-2025</t>
        </is>
      </c>
      <c r="B9" s="31">
        <f>(IF(COUNTIFS('02_MASTER'!$B:$B,"DK.PAY.CASH.POS",'02_MASTER'!$E:$E,2025)=0,"",SUMIFS('02_MASTER'!$F:$F,'02_MASTER'!$B:$B,"DK.PAY.CASH.POS",'02_MASTER'!$E:$E,2025))/IF(COUNTIFS('02_MASTER'!$B:$B,"DK.PAY.CASH.POS",'02_MASTER'!$E:$E,2017)=0,"",SUMIFS('02_MASTER'!$F:$F,'02_MASTER'!$B:$B,"DK.PAY.CASH.POS",'02_MASTER'!$E:$E,2017)))-1</f>
        <v/>
      </c>
      <c r="C9" s="29" t="inlineStr">
        <is>
          <t>%</t>
        </is>
      </c>
      <c r="D9" s="30" t="inlineStr">
        <is>
          <t>Cash fell to roughly a third of its 2017 share.</t>
        </is>
      </c>
    </row>
    <row r="10" ht="30" customHeight="1">
      <c r="A10" s="27" t="inlineStr">
        <is>
          <t>DK e-sales turnover share, change 2014-2024</t>
        </is>
      </c>
      <c r="B10" s="31">
        <f>(IF(COUNTIFS('02_MASTER'!$B:$B,"DK.ECM.ENT.TRN",'02_MASTER'!$E:$E,2024)=0,"",SUMIFS('02_MASTER'!$F:$F,'02_MASTER'!$B:$B,"DK.ECM.ENT.TRN",'02_MASTER'!$E:$E,2024))/IF(COUNTIFS('02_MASTER'!$B:$B,"DK.ECM.ENT.TRN",'02_MASTER'!$E:$E,2014)=0,"",SUMIFS('02_MASTER'!$F:$F,'02_MASTER'!$B:$B,"DK.ECM.ENT.TRN",'02_MASTER'!$E:$E,2014)))-1</f>
        <v/>
      </c>
      <c r="C10" s="29" t="inlineStr">
        <is>
          <t>%</t>
        </is>
      </c>
      <c r="D10" s="30" t="inlineStr">
        <is>
          <t>Tests the 'enterprise plateau' claim. Intensity nearly doubled.</t>
        </is>
      </c>
    </row>
    <row r="11" ht="30" customHeight="1">
      <c r="A11" s="27" t="inlineStr">
        <is>
          <t>EU e-sales turnover share, change 2014-2024</t>
        </is>
      </c>
      <c r="B11" s="31">
        <f>(IF(COUNTIFS('02_MASTER'!$B:$B,"EU.ECM.ENT.TRN",'02_MASTER'!$E:$E,2024)=0,"",SUMIFS('02_MASTER'!$F:$F,'02_MASTER'!$B:$B,"EU.ECM.ENT.TRN",'02_MASTER'!$E:$E,2024))/IF(COUNTIFS('02_MASTER'!$B:$B,"EU.ECM.ENT.TRN",'02_MASTER'!$E:$E,2014)=0,"",SUMIFS('02_MASTER'!$F:$F,'02_MASTER'!$B:$B,"EU.ECM.ENT.TRN",'02_MASTER'!$E:$E,2014)))-1</f>
        <v/>
      </c>
      <c r="C11" s="29" t="inlineStr">
        <is>
          <t>%</t>
        </is>
      </c>
      <c r="D11" s="30" t="inlineStr">
        <is>
          <t>Comparator for the line above.</t>
        </is>
      </c>
    </row>
    <row r="12" ht="30" customHeight="1">
      <c r="A12" s="27" t="inlineStr">
        <is>
          <t>DK lead over EU on e-sales turnover, 2024</t>
        </is>
      </c>
      <c r="B12" s="32">
        <f>IF(COUNTIFS('02_MASTER'!$B:$B,"DK.ECM.ENT.TRN",'02_MASTER'!$E:$E,2024)=0,"",SUMIFS('02_MASTER'!$F:$F,'02_MASTER'!$B:$B,"DK.ECM.ENT.TRN",'02_MASTER'!$E:$E,2024))-IF(COUNTIFS('02_MASTER'!$B:$B,"EU.ECM.ENT.TRN",'02_MASTER'!$E:$E,2024)=0,"",SUMIFS('02_MASTER'!$F:$F,'02_MASTER'!$B:$B,"EU.ECM.ENT.TRN",'02_MASTER'!$E:$E,2024))</f>
        <v/>
      </c>
      <c r="C12" s="29" t="inlineStr">
        <is>
          <t>pp</t>
        </is>
      </c>
      <c r="D12" s="30" t="inlineStr">
        <is>
          <t>Denmark's margin over the EU average.</t>
        </is>
      </c>
    </row>
    <row r="13" ht="30" customHeight="1">
      <c r="A13" s="27" t="inlineStr">
        <is>
          <t>Exclusion ratio: difficulty vs formal exemption</t>
        </is>
      </c>
      <c r="B13" s="32">
        <f>IF(COUNTIFS('02_MASTER'!$B:$B,"DK.DGX.DIFF",'02_MASTER'!$E:$E,2026)=0,"",SUMIFS('02_MASTER'!$F:$F,'02_MASTER'!$B:$B,"DK.DGX.DIFF",'02_MASTER'!$E:$E,2026))/IF(COUNTIFS('02_MASTER'!$B:$B,"DK.DGP.EXMP",'02_MASTER'!$E:$E,2026)=0,"",SUMIFS('02_MASTER'!$F:$F,'02_MASTER'!$B:$B,"DK.DGP.EXMP",'02_MASTER'!$E:$E,2026))</f>
        <v/>
      </c>
      <c r="C13" s="29" t="inlineStr">
        <is>
          <t>ratio</t>
        </is>
      </c>
      <c r="D13" s="30" t="inlineStr">
        <is>
          <t>How many times larger the capability measure is than the administrative one. The core Q4 statistic.</t>
        </is>
      </c>
    </row>
    <row r="14" ht="30" customHeight="1">
      <c r="A14" s="27" t="inlineStr">
        <is>
          <t>Citizens struggling but NOT exempt</t>
        </is>
      </c>
      <c r="B14" s="32">
        <f>IF(COUNTIFS('02_MASTER'!$B:$B,"DK.DGX.DIFF",'02_MASTER'!$E:$E,2026)=0,"",SUMIFS('02_MASTER'!$F:$F,'02_MASTER'!$B:$B,"DK.DGX.DIFF",'02_MASTER'!$E:$E,2026))-IF(COUNTIFS('02_MASTER'!$B:$B,"DK.DGP.EXMP",'02_MASTER'!$E:$E,2026)=0,"",SUMIFS('02_MASTER'!$F:$F,'02_MASTER'!$B:$B,"DK.DGP.EXMP",'02_MASTER'!$E:$E,2026))</f>
        <v/>
      </c>
      <c r="C14" s="29" t="inlineStr">
        <is>
          <t>pp</t>
        </is>
      </c>
      <c r="D14" s="30" t="inlineStr">
        <is>
          <t>Population facing difficulty without statutory relief.</t>
        </is>
      </c>
    </row>
    <row r="15" ht="30" customHeight="1">
      <c r="A15" s="27" t="inlineStr">
        <is>
          <t>Digital skills gap, 16-24 vs 55-74</t>
        </is>
      </c>
      <c r="B15" s="32">
        <f>IF(COUNTIFS('02_MASTER'!$B:$B,"DK.SKL.1624",'02_MASTER'!$E:$E,2025)=0,"",SUMIFS('02_MASTER'!$F:$F,'02_MASTER'!$B:$B,"DK.SKL.1624",'02_MASTER'!$E:$E,2025))-IF(COUNTIFS('02_MASTER'!$B:$B,"DK.SKL.5574",'02_MASTER'!$E:$E,2025)=0,"",SUMIFS('02_MASTER'!$F:$F,'02_MASTER'!$B:$B,"DK.SKL.5574",'02_MASTER'!$E:$E,2025))</f>
        <v/>
      </c>
      <c r="C15" s="29" t="inlineStr">
        <is>
          <t>pp</t>
        </is>
      </c>
      <c r="D15" s="30" t="inlineStr">
        <is>
          <t>Generational gradient in basic digital skills.</t>
        </is>
      </c>
    </row>
    <row r="16" ht="30" customHeight="1">
      <c r="A16" s="27" t="inlineStr">
        <is>
          <t>AI adoption gap, large firms vs SMEs</t>
        </is>
      </c>
      <c r="B16" s="32">
        <f>IF(COUNTIFS('02_MASTER'!$B:$B,"DK.ENT.AI.LRG",'02_MASTER'!$E:$E,2025)=0,"",SUMIFS('02_MASTER'!$F:$F,'02_MASTER'!$B:$B,"DK.ENT.AI.LRG",'02_MASTER'!$E:$E,2025))-IF(COUNTIFS('02_MASTER'!$B:$B,"DK.ENT.AI.SME",'02_MASTER'!$E:$E,2025)=0,"",SUMIFS('02_MASTER'!$F:$F,'02_MASTER'!$B:$B,"DK.ENT.AI.SME",'02_MASTER'!$E:$E,2025))</f>
        <v/>
      </c>
      <c r="C16" s="29" t="inlineStr">
        <is>
          <t>pp</t>
        </is>
      </c>
      <c r="D16" s="30" t="inlineStr">
        <is>
          <t>Depth-of-adoption gap behind the 'breadth without depth' finding.</t>
        </is>
      </c>
    </row>
    <row r="17" ht="30" customHeight="1">
      <c r="A17" s="27" t="inlineStr">
        <is>
          <t>DK shortfall vs EU, citizen digital public services</t>
        </is>
      </c>
      <c r="B17" s="32">
        <f>IF(COUNTIFS('02_MASTER'!$B:$B,"DK.GOV.DPS.CIT",'02_MASTER'!$E:$E,2025)=0,"",SUMIFS('02_MASTER'!$F:$F,'02_MASTER'!$B:$B,"DK.GOV.DPS.CIT",'02_MASTER'!$E:$E,2025))-IF(COUNTIFS('02_MASTER'!$B:$B,"EU.GOV.DPS.CIT",'02_MASTER'!$E:$E,2025)=0,"",SUMIFS('02_MASTER'!$F:$F,'02_MASTER'!$B:$B,"EU.GOV.DPS.CIT",'02_MASTER'!$E:$E,2025))</f>
        <v/>
      </c>
      <c r="C17" s="29" t="inlineStr">
        <is>
          <t>points</t>
        </is>
      </c>
      <c r="D17" s="30" t="inlineStr">
        <is>
          <t>Negative: Denmark scores below the EU average.</t>
        </is>
      </c>
    </row>
    <row r="18" ht="30" customHeight="1">
      <c r="A18" s="27" t="inlineStr">
        <is>
          <t>DK shortfall vs EU, ICT waste recycling</t>
        </is>
      </c>
      <c r="B18" s="32">
        <f>IF(COUNTIFS('02_MASTER'!$B:$B,"DK.ENV.WEEE",'02_MASTER'!$E:$E,2023)=0,"",SUMIFS('02_MASTER'!$F:$F,'02_MASTER'!$B:$B,"DK.ENV.WEEE",'02_MASTER'!$E:$E,2023))-IF(COUNTIFS('02_MASTER'!$B:$B,"EU.ENV.WEEE",'02_MASTER'!$E:$E,2023)=0,"",SUMIFS('02_MASTER'!$F:$F,'02_MASTER'!$B:$B,"EU.ENV.WEEE",'02_MASTER'!$E:$E,2023))</f>
        <v/>
      </c>
      <c r="C18" s="29" t="inlineStr">
        <is>
          <t>pp</t>
        </is>
      </c>
      <c r="D18" s="30" t="inlineStr">
        <is>
          <t>Negative and large - candidate SDG evidence.</t>
        </is>
      </c>
    </row>
    <row r="19" ht="30" customHeight="1">
      <c r="A19" s="27" t="inlineStr">
        <is>
          <t>Trust in digital public solutions, change 2024-2025</t>
        </is>
      </c>
      <c r="B19" s="32">
        <f>IF(COUNTIFS('02_MASTER'!$B:$B,"DK.TRU.DPS",'02_MASTER'!$E:$E,2025)=0,"",SUMIFS('02_MASTER'!$F:$F,'02_MASTER'!$B:$B,"DK.TRU.DPS",'02_MASTER'!$E:$E,2025))-IF(COUNTIFS('02_MASTER'!$B:$B,"DK.TRU.DPS",'02_MASTER'!$E:$E,2024)=0,"",SUMIFS('02_MASTER'!$F:$F,'02_MASTER'!$B:$B,"DK.TRU.DPS",'02_MASTER'!$E:$E,2024))</f>
        <v/>
      </c>
      <c r="C19" s="29" t="inlineStr">
        <is>
          <t>pp</t>
        </is>
      </c>
      <c r="D19" s="30" t="inlineStr">
        <is>
          <t>Trust rising while the mandate is in force.</t>
        </is>
      </c>
    </row>
    <row r="20" ht="30" customHeight="1">
      <c r="A20" s="27" t="inlineStr">
        <is>
          <t>Perceived security of Digital Post, change 2017-2025</t>
        </is>
      </c>
      <c r="B20" s="32">
        <f>IF(COUNTIFS('02_MASTER'!$B:$B,"DK.TRU.DGP.SEC",'02_MASTER'!$E:$E,2025)=0,"",SUMIFS('02_MASTER'!$F:$F,'02_MASTER'!$B:$B,"DK.TRU.DGP.SEC",'02_MASTER'!$E:$E,2025))-IF(COUNTIFS('02_MASTER'!$B:$B,"DK.TRU.DGP.SEC",'02_MASTER'!$E:$E,2017)=0,"",SUMIFS('02_MASTER'!$F:$F,'02_MASTER'!$B:$B,"DK.TRU.DGP.SEC",'02_MASTER'!$E:$E,2017))</f>
        <v/>
      </c>
      <c r="C20" s="29" t="inlineStr">
        <is>
          <t>pp</t>
        </is>
      </c>
      <c r="D20" s="30" t="inlineStr">
        <is>
          <t>Trust in the mandated system over the mandate period (CLO4).</t>
        </is>
      </c>
    </row>
    <row r="21" ht="30" customHeight="1">
      <c r="A21" s="27" t="inlineStr">
        <is>
          <t>Digital Post: projected annual saving</t>
        </is>
      </c>
      <c r="B21" s="32">
        <f>IF(COUNTIFS('02_MASTER'!$B:$B,"DK.GOV.DGP.SAVE.PLAN",'02_MASTER'!$E:$E,2016)=0,"",SUMIFS('02_MASTER'!$F:$F,'02_MASTER'!$B:$B,"DK.GOV.DGP.SAVE.PLAN",'02_MASTER'!$E:$E,2016))</f>
        <v/>
      </c>
      <c r="C21" s="29" t="inlineStr">
        <is>
          <t>mDKK/yr</t>
        </is>
      </c>
      <c r="D21" s="30" t="inlineStr">
        <is>
          <t>Ministry of Finance business case for the mandate (RR1).</t>
        </is>
      </c>
    </row>
    <row r="22" ht="30" customHeight="1">
      <c r="A22" s="27" t="inlineStr">
        <is>
          <t>Digital Post: saving verifiable by audit</t>
        </is>
      </c>
      <c r="B22" s="32">
        <f>IF(COUNTIFS('02_MASTER'!$B:$B,"DK.GOV.DGP.SAVE.VERIF",'02_MASTER'!$E:$E,2016)=0,"",SUMIFS('02_MASTER'!$F:$F,'02_MASTER'!$B:$B,"DK.GOV.DGP.SAVE.VERIF",'02_MASTER'!$E:$E,2016))</f>
        <v/>
      </c>
      <c r="C22" s="29" t="inlineStr">
        <is>
          <t>mDKK/yr</t>
        </is>
      </c>
      <c r="D22" s="30" t="inlineStr">
        <is>
          <t>Postage, paper and envelopes only (RR1).</t>
        </is>
      </c>
    </row>
    <row r="23" ht="30" customHeight="1">
      <c r="A23" s="27" t="inlineStr">
        <is>
          <t>Digital Post: unverified share of the business case</t>
        </is>
      </c>
      <c r="B23" s="31">
        <f>1-(IF(COUNTIFS('02_MASTER'!$B:$B,"DK.GOV.DGP.SAVE.VERIF",'02_MASTER'!$E:$E,2016)=0,"",SUMIFS('02_MASTER'!$F:$F,'02_MASTER'!$B:$B,"DK.GOV.DGP.SAVE.VERIF",'02_MASTER'!$E:$E,2016))/IF(COUNTIFS('02_MASTER'!$B:$B,"DK.GOV.DGP.SAVE.PLAN",'02_MASTER'!$E:$E,2016)=0,"",SUMIFS('02_MASTER'!$F:$F,'02_MASTER'!$B:$B,"DK.GOV.DGP.SAVE.PLAN",'02_MASTER'!$E:$E,2016)))</f>
        <v/>
      </c>
      <c r="C23" s="29" t="inlineStr">
        <is>
          <t>%</t>
        </is>
      </c>
      <c r="D23" s="30" t="inlineStr">
        <is>
          <t>Over half the projected saving - the wage and overhead component - was never substantiated. The cross-government study intended to test it was abandoned. The strongest cost-side finding in this workbook.</t>
        </is>
      </c>
    </row>
    <row r="24" ht="30" customHeight="1">
      <c r="A24" s="27" t="inlineStr">
        <is>
          <t>Digital Post: cost per formally exempt citizen, if the shortfall is real</t>
        </is>
      </c>
      <c r="B24" s="32">
        <f>((IF(COUNTIFS('02_MASTER'!$B:$B,"DK.GOV.DGP.SAVE.PLAN",'02_MASTER'!$E:$E,2016)=0,"",SUMIFS('02_MASTER'!$F:$F,'02_MASTER'!$B:$B,"DK.GOV.DGP.SAVE.PLAN",'02_MASTER'!$E:$E,2016))-IF(COUNTIFS('02_MASTER'!$B:$B,"DK.GOV.DGP.SAVE.VERIF",'02_MASTER'!$E:$E,2016)=0,"",SUMIFS('02_MASTER'!$F:$F,'02_MASTER'!$B:$B,"DK.GOV.DGP.SAVE.VERIF",'02_MASTER'!$E:$E,2016)))*1000000)/IF(COUNTIFS('02_MASTER'!$B:$B,"DK.DGP.EXMP.N",'02_MASTER'!$E:$E,2026)=0,"",SUMIFS('02_MASTER'!$F:$F,'02_MASTER'!$B:$B,"DK.DGP.EXMP.N",'02_MASTER'!$E:$E,2026))</f>
        <v/>
      </c>
      <c r="C24" s="29" t="inlineStr">
        <is>
          <t>DKK</t>
        </is>
      </c>
      <c r="D24" s="30" t="inlineStr">
        <is>
          <t>ILLUSTRATIVE ONLY, and not a real unit cost: it divides an unverified saving shortfall by an unrelated headcount. Included because the comparison of magnitudes is informative; it must not be quoted as a cost per person.</t>
        </is>
      </c>
    </row>
    <row r="25" ht="30" customHeight="1">
      <c r="A25" s="27" t="inlineStr">
        <is>
          <t>Resident population, 1 January 2026</t>
        </is>
      </c>
      <c r="B25" s="28">
        <f>IF(COUNTIFS('02_MASTER'!$B:$B,"DK.POP.TOT",'02_MASTER'!$E:$E,2026)=0,"",SUMIFS('02_MASTER'!$F:$F,'02_MASTER'!$B:$B,"DK.POP.TOT",'02_MASTER'!$E:$E,2026))</f>
        <v/>
      </c>
      <c r="C25" s="29" t="inlineStr">
        <is>
          <t>count</t>
        </is>
      </c>
      <c r="D25" s="30" t="inlineStr">
        <is>
          <t>Direct lookup. The only population level in the workbook (DST2).</t>
        </is>
      </c>
    </row>
    <row r="26" ht="30" customHeight="1">
      <c r="A26" s="27" t="inlineStr">
        <is>
          <t>Citizens formally exempt from Digital Post, Q1 2026</t>
        </is>
      </c>
      <c r="B26" s="28">
        <f>IF(COUNTIFS('02_MASTER'!$B:$B,"DK.DGP.EXMP.N",'02_MASTER'!$E:$E,2026)=0,"",SUMIFS('02_MASTER'!$F:$F,'02_MASTER'!$B:$B,"DK.DGP.EXMP.N",'02_MASTER'!$E:$E,2026))</f>
        <v/>
      </c>
      <c r="C26" s="29" t="inlineStr">
        <is>
          <t>count</t>
        </is>
      </c>
      <c r="D26" s="30" t="inlineStr">
        <is>
          <t>Headcount behind the 4.7% rate (DG1).</t>
        </is>
      </c>
    </row>
    <row r="27" ht="30" customHeight="1">
      <c r="A27" s="27" t="inlineStr">
        <is>
          <t>Change in exempt headcount, 2025 to 2026</t>
        </is>
      </c>
      <c r="B27" s="28">
        <f>IF(COUNTIFS('02_MASTER'!$B:$B,"DK.DGP.EXMP.N",'02_MASTER'!$E:$E,2026)=0,"",SUMIFS('02_MASTER'!$F:$F,'02_MASTER'!$B:$B,"DK.DGP.EXMP.N",'02_MASTER'!$E:$E,2026))-IF(COUNTIFS('02_MASTER'!$B:$B,"DK.DGP.EXMP.N",'02_MASTER'!$E:$E,2025)=0,"",SUMIFS('02_MASTER'!$F:$F,'02_MASTER'!$B:$B,"DK.DGP.EXMP.N",'02_MASTER'!$E:$E,2025))</f>
        <v/>
      </c>
      <c r="C27" s="29" t="inlineStr">
        <is>
          <t>count</t>
        </is>
      </c>
      <c r="D27" s="30" t="inlineStr">
        <is>
          <t>Falling. Note the 2025 figure is an 'approximately' value, so this difference is not precise.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12" customWidth="1" min="1" max="1"/>
    <col width="16" customWidth="1" min="2" max="2"/>
  </cols>
  <sheetData>
    <row r="1" ht="22" customHeight="1">
      <c r="A1" s="7" t="inlineStr">
        <is>
          <t>Figure 1 - Denmark's bank branch network, 2004-2024</t>
        </is>
      </c>
    </row>
    <row r="2">
      <c r="A2" s="26" t="inlineStr">
        <is>
          <t>Series DK.FIN.BRCH. Values are formula lookups from 02_MASTER.</t>
        </is>
      </c>
    </row>
    <row r="3">
      <c r="D3" s="33" t="inlineStr">
        <is>
          <t>Bank branches in Denmark, 2004-2024</t>
        </is>
      </c>
    </row>
    <row r="4" ht="28" customHeight="1">
      <c r="A4" s="8" t="inlineStr">
        <is>
          <t>year</t>
        </is>
      </c>
      <c r="B4" s="8" t="inlineStr">
        <is>
          <t>bank branches</t>
        </is>
      </c>
      <c r="D4" s="26" t="inlineStr">
        <is>
          <t>Count of retail branches. Uneven year spacing, numeric X axis.</t>
        </is>
      </c>
    </row>
    <row r="5">
      <c r="A5" s="27" t="n">
        <v>2004</v>
      </c>
      <c r="B5" s="28">
        <f>IF(COUNTIFS('02_MASTER'!$B:$B,"DK.FIN.BRCH",'02_MASTER'!$E:$E,2004)=0,"",SUMIFS('02_MASTER'!$F:$F,'02_MASTER'!$B:$B,"DK.FIN.BRCH",'02_MASTER'!$E:$E,2004))</f>
        <v/>
      </c>
    </row>
    <row r="6">
      <c r="A6" s="27" t="n">
        <v>2006</v>
      </c>
      <c r="B6" s="28">
        <f>IF(COUNTIFS('02_MASTER'!$B:$B,"DK.FIN.BRCH",'02_MASTER'!$E:$E,2006)=0,"",SUMIFS('02_MASTER'!$F:$F,'02_MASTER'!$B:$B,"DK.FIN.BRCH",'02_MASTER'!$E:$E,2006))</f>
        <v/>
      </c>
    </row>
    <row r="7">
      <c r="A7" s="27" t="n">
        <v>2010</v>
      </c>
      <c r="B7" s="28">
        <f>IF(COUNTIFS('02_MASTER'!$B:$B,"DK.FIN.BRCH",'02_MASTER'!$E:$E,2010)=0,"",SUMIFS('02_MASTER'!$F:$F,'02_MASTER'!$B:$B,"DK.FIN.BRCH",'02_MASTER'!$E:$E,2010))</f>
        <v/>
      </c>
    </row>
    <row r="8">
      <c r="A8" s="27" t="n">
        <v>2016</v>
      </c>
      <c r="B8" s="28">
        <f>IF(COUNTIFS('02_MASTER'!$B:$B,"DK.FIN.BRCH",'02_MASTER'!$E:$E,2016)=0,"",SUMIFS('02_MASTER'!$F:$F,'02_MASTER'!$B:$B,"DK.FIN.BRCH",'02_MASTER'!$E:$E,2016))</f>
        <v/>
      </c>
    </row>
    <row r="9">
      <c r="A9" s="27" t="n">
        <v>2021</v>
      </c>
      <c r="B9" s="28">
        <f>IF(COUNTIFS('02_MASTER'!$B:$B,"DK.FIN.BRCH",'02_MASTER'!$E:$E,2021)=0,"",SUMIFS('02_MASTER'!$F:$F,'02_MASTER'!$B:$B,"DK.FIN.BRCH",'02_MASTER'!$E:$E,2021))</f>
        <v/>
      </c>
    </row>
    <row r="10">
      <c r="A10" s="27" t="n">
        <v>2024</v>
      </c>
      <c r="B10" s="28">
        <f>IF(COUNTIFS('02_MASTER'!$B:$B,"DK.FIN.BRCH",'02_MASTER'!$E:$E,2024)=0,"",SUMIFS('02_MASTER'!$F:$F,'02_MASTER'!$B:$B,"DK.FIN.BRCH",'02_MASTER'!$E:$E,2024))</f>
        <v/>
      </c>
    </row>
    <row r="12">
      <c r="A12" s="34" t="inlineStr">
        <is>
          <t>Source: Finans Danmark, Institutter, filialer &amp; ansatte (FD1). Note: years are unevenly spaced, so the chart uses a numeric X axis - a category axis would imply a constant rate of decline that the data does not show.</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14" customWidth="1" min="1" max="1"/>
    <col width="11" customWidth="1" min="2" max="2"/>
    <col width="46" customWidth="1" min="3" max="3"/>
    <col width="34" customWidth="1" min="4" max="4"/>
    <col width="10" customWidth="1" min="5" max="5"/>
  </cols>
  <sheetData>
    <row r="1" ht="22" customHeight="1">
      <c r="A1" s="7" t="inlineStr">
        <is>
          <t>Figure 2 - Cash displacement in Danish physical retail</t>
        </is>
      </c>
    </row>
    <row r="2">
      <c r="A2" s="26" t="inlineStr">
        <is>
          <t>Denominator throughout: share of the NUMBER of in-store payments.</t>
        </is>
      </c>
    </row>
    <row r="4">
      <c r="A4" s="3" t="inlineStr">
        <is>
          <t>Panel A - Cash share of in-store payments</t>
        </is>
      </c>
      <c r="D4" s="33" t="inlineStr">
        <is>
          <t>Cash share of in-store payments, 2017-2025</t>
        </is>
      </c>
    </row>
    <row r="5" ht="28" customHeight="1">
      <c r="A5" s="8" t="inlineStr">
        <is>
          <t>year</t>
        </is>
      </c>
      <c r="B5" s="8" t="inlineStr">
        <is>
          <t>cash (%)</t>
        </is>
      </c>
      <c r="D5" s="26" t="inlineStr">
        <is>
          <t>% of the number of payments made in physical retail.</t>
        </is>
      </c>
    </row>
    <row r="6">
      <c r="A6" s="27" t="n">
        <v>2017</v>
      </c>
      <c r="B6" s="35">
        <f>IF(COUNTIFS('02_MASTER'!$B:$B,"DK.PAY.CASH.POS",'02_MASTER'!$E:$E,2017)=0,"",SUMIFS('02_MASTER'!$F:$F,'02_MASTER'!$B:$B,"DK.PAY.CASH.POS",'02_MASTER'!$E:$E,2017))</f>
        <v/>
      </c>
    </row>
    <row r="7">
      <c r="A7" s="27" t="n">
        <v>2023</v>
      </c>
      <c r="B7" s="35">
        <f>IF(COUNTIFS('02_MASTER'!$B:$B,"DK.PAY.CASH.POS",'02_MASTER'!$E:$E,2023)=0,"",SUMIFS('02_MASTER'!$F:$F,'02_MASTER'!$B:$B,"DK.PAY.CASH.POS",'02_MASTER'!$E:$E,2023))</f>
        <v/>
      </c>
    </row>
    <row r="8">
      <c r="A8" s="27" t="n">
        <v>2025</v>
      </c>
      <c r="B8" s="35">
        <f>IF(COUNTIFS('02_MASTER'!$B:$B,"DK.PAY.CASH.POS",'02_MASTER'!$E:$E,2025)=0,"",SUMIFS('02_MASTER'!$F:$F,'02_MASTER'!$B:$B,"DK.PAY.CASH.POS",'02_MASTER'!$E:$E,2025))</f>
        <v/>
      </c>
    </row>
    <row r="10">
      <c r="A10" s="3" t="inlineStr">
        <is>
          <t>Panel B - Composition of in-store payments, 2025</t>
        </is>
      </c>
      <c r="D10" s="33" t="inlineStr">
        <is>
          <t>Composition of in-store payments, 2025</t>
        </is>
      </c>
    </row>
    <row r="11" ht="28" customHeight="1">
      <c r="A11" s="8" t="inlineStr">
        <is>
          <t>instrument</t>
        </is>
      </c>
      <c r="B11" s="8" t="inlineStr">
        <is>
          <t>share of payments (%)</t>
        </is>
      </c>
      <c r="D11" s="26" t="inlineStr">
        <is>
          <t>Sums to 95%; the residual is other digital instruments.</t>
        </is>
      </c>
    </row>
    <row r="12">
      <c r="A12" s="27" t="inlineStr">
        <is>
          <t>Physical payment card</t>
        </is>
      </c>
      <c r="B12" s="35">
        <f>IF(COUNTIFS('02_MASTER'!$B:$B,"DK.PAY.CRD.PHYS",'02_MASTER'!$E:$E,2025)=0,"",SUMIFS('02_MASTER'!$F:$F,'02_MASTER'!$B:$B,"DK.PAY.CRD.PHYS",'02_MASTER'!$E:$E,2025))</f>
        <v/>
      </c>
    </row>
    <row r="13">
      <c r="A13" s="27" t="inlineStr">
        <is>
          <t>Mobile wallet (card-based)</t>
        </is>
      </c>
      <c r="B13" s="35">
        <f>IF(COUNTIFS('02_MASTER'!$B:$B,"DK.PAY.WLT.SHR",'02_MASTER'!$E:$E,2025)=0,"",SUMIFS('02_MASTER'!$F:$F,'02_MASTER'!$B:$B,"DK.PAY.WLT.SHR",'02_MASTER'!$E:$E,2025))</f>
        <v/>
      </c>
    </row>
    <row r="14">
      <c r="A14" s="27" t="inlineStr">
        <is>
          <t>Cash</t>
        </is>
      </c>
      <c r="B14" s="35">
        <f>IF(COUNTIFS('02_MASTER'!$B:$B,"DK.PAY.CASH.POS",'02_MASTER'!$E:$E,2025)=0,"",SUMIFS('02_MASTER'!$F:$F,'02_MASTER'!$B:$B,"DK.PAY.CASH.POS",'02_MASTER'!$E:$E,2025))</f>
        <v/>
      </c>
    </row>
    <row r="16">
      <c r="A16" s="3" t="inlineStr">
        <is>
          <t>MEMO - different denominator, not charted above</t>
        </is>
      </c>
    </row>
    <row r="17" ht="28" customHeight="1">
      <c r="A17" s="8" t="inlineStr">
        <is>
          <t>year</t>
        </is>
      </c>
      <c r="B17" s="8" t="inlineStr">
        <is>
          <t>citizens holding a mobile wallet (%)</t>
        </is>
      </c>
    </row>
    <row r="18">
      <c r="A18" s="27" t="n">
        <v>2019</v>
      </c>
      <c r="B18" s="36">
        <f>IF(COUNTIFS('02_MASTER'!$B:$B,"DK.PAY.WLT.OWN",'02_MASTER'!$E:$E,2019)=0,"",SUMIFS('02_MASTER'!$F:$F,'02_MASTER'!$B:$B,"DK.PAY.WLT.OWN",'02_MASTER'!$E:$E,2019))</f>
        <v/>
      </c>
    </row>
    <row r="19">
      <c r="A19" s="27" t="n">
        <v>2023</v>
      </c>
      <c r="B19" s="36">
        <f>IF(COUNTIFS('02_MASTER'!$B:$B,"DK.PAY.WLT.OWN",'02_MASTER'!$E:$E,2023)=0,"",SUMIFS('02_MASTER'!$F:$F,'02_MASTER'!$B:$B,"DK.PAY.WLT.OWN",'02_MASTER'!$E:$E,2023))</f>
        <v/>
      </c>
    </row>
    <row r="20">
      <c r="A20" s="27" t="n">
        <v>2025</v>
      </c>
      <c r="B20" s="36">
        <f>IF(COUNTIFS('02_MASTER'!$B:$B,"DK.PAY.WLT.OWN",'02_MASTER'!$E:$E,2025)=0,"",SUMIFS('02_MASTER'!$F:$F,'02_MASTER'!$B:$B,"DK.PAY.WLT.OWN",'02_MASTER'!$E:$E,2025))</f>
        <v/>
      </c>
    </row>
    <row r="23">
      <c r="A23" s="3" t="inlineStr">
        <is>
          <t>POLICY EVENTS ON THIS SERIES</t>
        </is>
      </c>
    </row>
    <row r="24" ht="28" customHeight="1">
      <c r="A24" s="8" t="inlineStr">
        <is>
          <t>date</t>
        </is>
      </c>
      <c r="B24" s="8" t="inlineStr">
        <is>
          <t>precision</t>
        </is>
      </c>
      <c r="C24" s="8" t="inlineStr">
        <is>
          <t>instrument</t>
        </is>
      </c>
      <c r="D24" s="8" t="inlineStr">
        <is>
          <t>citation</t>
        </is>
      </c>
      <c r="E24" s="8" t="inlineStr">
        <is>
          <t>source</t>
        </is>
      </c>
    </row>
    <row r="25">
      <c r="A25" s="23" t="inlineStr">
        <is>
          <t>2022-07-01</t>
        </is>
      </c>
      <c r="B25" s="15" t="inlineStr">
        <is>
          <t>day</t>
        </is>
      </c>
      <c r="C25" s="15" t="inlineStr">
        <is>
          <t>Kontantreglen amended</t>
        </is>
      </c>
      <c r="D25" s="15" t="inlineStr">
        <is>
          <t>Lov om betalinger, ss 81</t>
        </is>
      </c>
      <c r="E25" s="23" t="inlineStr">
        <is>
          <t>RI2</t>
        </is>
      </c>
    </row>
    <row r="27">
      <c r="A27" s="34" t="inlineStr">
        <is>
          <t>Source: Danmarks Nationalbank, Danskernes betalingsvaner (NB1). Panel B sums to 95%, not 100%: the residual is other digital instruments (chiefly account transfers and non-card mobile payments). Wallet payments ARE card payments settled through a phone, so the wallet and physical-card rows must not be added to produce a 'card' total. The memo series is excluded from both panels because its denominator is % of citizens, not % of payments. Physical card and wallet shares are observed in 2025 only, so no time series is drawn for them - a two-point line through an unobserved middle would assert a path the data does not contain.</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14" customWidth="1" min="1" max="1"/>
    <col width="11" customWidth="1" min="2" max="2"/>
    <col width="46" customWidth="1" min="3" max="3"/>
    <col width="34" customWidth="1" min="4" max="4"/>
    <col width="10" customWidth="1" min="5" max="5"/>
  </cols>
  <sheetData>
    <row r="1" ht="22" customHeight="1">
      <c r="A1" s="7" t="inlineStr">
        <is>
          <t>Figure 3 - E-sales as a share of enterprise turnover, DK vs EU</t>
        </is>
      </c>
    </row>
    <row r="2">
      <c r="A2" s="26" t="inlineStr">
        <is>
          <t>Tests the 'enterprise plateau' claim: intensity nearly doubled.</t>
        </is>
      </c>
    </row>
    <row r="3">
      <c r="E3" s="33" t="inlineStr">
        <is>
          <t>E-sales as % of enterprise turnover, DK vs EU-27</t>
        </is>
      </c>
    </row>
    <row r="4" ht="28" customHeight="1">
      <c r="A4" s="8" t="inlineStr">
        <is>
          <t>year</t>
        </is>
      </c>
      <c r="B4" s="8" t="inlineStr">
        <is>
          <t>Denmark</t>
        </is>
      </c>
      <c r="C4" s="8" t="inlineStr">
        <is>
          <t>EU-27</t>
        </is>
      </c>
      <c r="E4" s="26" t="inlineStr">
        <is>
          <t>Denmark in blue; the EU average in grey.</t>
        </is>
      </c>
    </row>
    <row r="5">
      <c r="A5" s="27" t="n">
        <v>2014</v>
      </c>
      <c r="B5" s="37">
        <f>IF(COUNTIFS('02_MASTER'!$B:$B,"DK.ECM.ENT.TRN",'02_MASTER'!$E:$E,2014)=0,"",SUMIFS('02_MASTER'!$F:$F,'02_MASTER'!$B:$B,"DK.ECM.ENT.TRN",'02_MASTER'!$E:$E,2014))</f>
        <v/>
      </c>
      <c r="C5" s="37">
        <f>IF(COUNTIFS('02_MASTER'!$B:$B,"EU.ECM.ENT.TRN",'02_MASTER'!$E:$E,2014)=0,"",SUMIFS('02_MASTER'!$F:$F,'02_MASTER'!$B:$B,"EU.ECM.ENT.TRN",'02_MASTER'!$E:$E,2014))</f>
        <v/>
      </c>
    </row>
    <row r="6">
      <c r="A6" s="27" t="n">
        <v>2024</v>
      </c>
      <c r="B6" s="37">
        <f>IF(COUNTIFS('02_MASTER'!$B:$B,"DK.ECM.ENT.TRN",'02_MASTER'!$E:$E,2024)=0,"",SUMIFS('02_MASTER'!$F:$F,'02_MASTER'!$B:$B,"DK.ECM.ENT.TRN",'02_MASTER'!$E:$E,2024))</f>
        <v/>
      </c>
      <c r="C6" s="37">
        <f>IF(COUNTIFS('02_MASTER'!$B:$B,"EU.ECM.ENT.TRN",'02_MASTER'!$E:$E,2024)=0,"",SUMIFS('02_MASTER'!$F:$F,'02_MASTER'!$B:$B,"EU.ECM.ENT.TRN",'02_MASTER'!$E:$E,2024))</f>
        <v/>
      </c>
    </row>
    <row r="9">
      <c r="A9" s="3" t="inlineStr">
        <is>
          <t>CONTEXT - breadth vs intensity, 2024</t>
        </is>
      </c>
    </row>
    <row r="10" ht="28" customHeight="1">
      <c r="A10" s="8" t="inlineStr">
        <is>
          <t>measure</t>
        </is>
      </c>
      <c r="B10" s="8" t="inlineStr">
        <is>
          <t>Denmark</t>
        </is>
      </c>
      <c r="C10" s="8" t="inlineStr">
        <is>
          <t>EU / leader</t>
        </is>
      </c>
    </row>
    <row r="11">
      <c r="A11" s="27" t="inlineStr">
        <is>
          <t>Enterprises making e-sales (%)</t>
        </is>
      </c>
      <c r="B11" s="32">
        <f>IF(COUNTIFS('02_MASTER'!$B:$B,"DK.ECM.ENT.SHR",'02_MASTER'!$E:$E,2024)=0,"",SUMIFS('02_MASTER'!$F:$F,'02_MASTER'!$B:$B,"DK.ECM.ENT.SHR",'02_MASTER'!$E:$E,2024))</f>
        <v/>
      </c>
      <c r="C11" s="29" t="inlineStr">
        <is>
          <t>Lithuania 43.03 (highest)</t>
        </is>
      </c>
    </row>
    <row r="12">
      <c r="A12" s="27" t="inlineStr">
        <is>
          <t>E-sales share of turnover (%)</t>
        </is>
      </c>
      <c r="B12" s="32">
        <f>IF(COUNTIFS('02_MASTER'!$B:$B,"DK.ECM.ENT.TRN",'02_MASTER'!$E:$E,2024)=0,"",SUMIFS('02_MASTER'!$F:$F,'02_MASTER'!$B:$B,"DK.ECM.ENT.TRN",'02_MASTER'!$E:$E,2024))</f>
        <v/>
      </c>
      <c r="C12" s="29" t="inlineStr">
        <is>
          <t>Ireland 38.25 (highest)</t>
        </is>
      </c>
    </row>
    <row r="13">
      <c r="A13" s="27" t="inlineStr">
        <is>
          <t>EU average, e-sales share of turnover (%)</t>
        </is>
      </c>
      <c r="B13" s="32">
        <f>IF(COUNTIFS('02_MASTER'!$B:$B,"EU.ECM.ENT.TRN",'02_MASTER'!$E:$E,2024)=0,"",SUMIFS('02_MASTER'!$F:$F,'02_MASTER'!$B:$B,"EU.ECM.ENT.TRN",'02_MASTER'!$E:$E,2024))</f>
        <v/>
      </c>
      <c r="C13" s="29" t="inlineStr"/>
    </row>
    <row r="16">
      <c r="A16" s="3" t="inlineStr">
        <is>
          <t>POLICY EVENTS ON THIS SERIES</t>
        </is>
      </c>
    </row>
    <row r="17" ht="28" customHeight="1">
      <c r="A17" s="8" t="inlineStr">
        <is>
          <t>date</t>
        </is>
      </c>
      <c r="B17" s="8" t="inlineStr">
        <is>
          <t>precision</t>
        </is>
      </c>
      <c r="C17" s="8" t="inlineStr">
        <is>
          <t>instrument</t>
        </is>
      </c>
      <c r="D17" s="8" t="inlineStr">
        <is>
          <t>citation</t>
        </is>
      </c>
      <c r="E17" s="8" t="inlineStr">
        <is>
          <t>source</t>
        </is>
      </c>
    </row>
    <row r="18">
      <c r="A18" s="23" t="inlineStr">
        <is>
          <t>2013-01-01</t>
        </is>
      </c>
      <c r="B18" s="15" t="inlineStr">
        <is>
          <t>year</t>
        </is>
      </c>
      <c r="C18" s="15" t="inlineStr">
        <is>
          <t>Digital Post becomes mandatory for businesses</t>
        </is>
      </c>
      <c r="D18" s="15" t="inlineStr">
        <is>
          <t>Lov om Offentlig Digital Post</t>
        </is>
      </c>
      <c r="E18" s="23" t="inlineStr">
        <is>
          <t>DG4</t>
        </is>
      </c>
    </row>
    <row r="20">
      <c r="A20" s="34" t="inlineStr">
        <is>
          <t>Source: Eurostat (ES5). Reading: Denmark's e-sales share of turnover rose from 17.05% to 33.31% while the EU average moved from 16.43% to 19.49%. Breadth of adoption is flat at roughly 38% of enterprises; intensity nearly doubled. The growth came from incumbents selling more online, not from new firms entering.</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14" customWidth="1" min="1" max="1"/>
    <col width="11" customWidth="1" min="2" max="2"/>
    <col width="46" customWidth="1" min="3" max="3"/>
    <col width="34" customWidth="1" min="4" max="4"/>
    <col width="10" customWidth="1" min="5" max="5"/>
  </cols>
  <sheetData>
    <row r="1" ht="22" customHeight="1">
      <c r="A1" s="7" t="inlineStr">
        <is>
          <t>Figure 4 - Five measures of digital exclusion in Denmark</t>
        </is>
      </c>
    </row>
    <row r="2">
      <c r="A2" s="26" t="inlineStr">
        <is>
          <t>Same phenomenon, five definitions. The spread is the finding.</t>
        </is>
      </c>
    </row>
    <row r="3">
      <c r="F3" s="33" t="inlineStr">
        <is>
          <t>Measures of digital exclusion, Denmark</t>
        </is>
      </c>
    </row>
    <row r="4" ht="28" customHeight="1">
      <c r="A4" s="8" t="inlineStr">
        <is>
          <t>measure</t>
        </is>
      </c>
      <c r="B4" s="8" t="inlineStr">
        <is>
          <t>%</t>
        </is>
      </c>
      <c r="C4" s="8" t="inlineStr">
        <is>
          <t>definition basis</t>
        </is>
      </c>
      <c r="D4" s="8" t="inlineStr">
        <is>
          <t>source</t>
        </is>
      </c>
      <c r="F4" s="26" t="inlineStr">
        <is>
          <t>Five definitions of the same phenomenon; they are nested, not contradictory.</t>
        </is>
      </c>
    </row>
    <row r="5">
      <c r="A5" s="27" t="inlineStr">
        <is>
          <t>Formally exempt from Digital Post (Q1 2026)</t>
        </is>
      </c>
      <c r="B5" s="35">
        <f>IF(COUNTIFS('02_MASTER'!$B:$B,"DK.DGP.EXMP",'02_MASTER'!$E:$E,2026)=0,"",SUMIFS('02_MASTER'!$F:$F,'02_MASTER'!$B:$B,"DK.DGP.EXMP",'02_MASTER'!$E:$E,2026))</f>
        <v/>
      </c>
      <c r="C5" s="29" t="inlineStr">
        <is>
          <t>administrative status</t>
        </is>
      </c>
      <c r="D5" s="38" t="inlineStr">
        <is>
          <t>DG1</t>
        </is>
      </c>
    </row>
    <row r="6">
      <c r="A6" s="27" t="inlineStr">
        <is>
          <t>Do not use digital public services at all</t>
        </is>
      </c>
      <c r="B6" s="35">
        <f>IF(COUNTIFS('02_MASTER'!$B:$B,"DK.DGX.NOUSE",'02_MASTER'!$E:$E,2026)=0,"",SUMIFS('02_MASTER'!$F:$F,'02_MASTER'!$B:$B,"DK.DGX.NOUSE",'02_MASTER'!$E:$E,2026))</f>
        <v/>
      </c>
      <c r="C6" s="29" t="inlineStr">
        <is>
          <t>self-reported non-use</t>
        </is>
      </c>
      <c r="D6" s="38" t="inlineStr">
        <is>
          <t>EC1</t>
        </is>
      </c>
    </row>
    <row r="7">
      <c r="A7" s="27" t="inlineStr">
        <is>
          <t>Face difficulties using digital public services</t>
        </is>
      </c>
      <c r="B7" s="35">
        <f>IF(COUNTIFS('02_MASTER'!$B:$B,"DK.DGX.DIFF",'02_MASTER'!$E:$E,2026)=0,"",SUMIFS('02_MASTER'!$F:$F,'02_MASTER'!$B:$B,"DK.DGX.DIFF",'02_MASTER'!$E:$E,2026))</f>
        <v/>
      </c>
      <c r="C7" s="29" t="inlineStr">
        <is>
          <t>capability estimate</t>
        </is>
      </c>
      <c r="D7" s="38" t="inlineStr">
        <is>
          <t>EC1</t>
        </is>
      </c>
    </row>
    <row r="8">
      <c r="A8" s="27" t="inlineStr">
        <is>
          <t>'Digitally disadvantaged' - lower bound</t>
        </is>
      </c>
      <c r="B8" s="35">
        <f>IF(COUNTIFS('02_MASTER'!$B:$B,"DK.DGX.DISADV.LO",'02_MASTER'!$E:$E,2025)=0,"",SUMIFS('02_MASTER'!$F:$F,'02_MASTER'!$B:$B,"DK.DGX.DISADV.LO",'02_MASTER'!$E:$E,2025))</f>
        <v/>
      </c>
      <c r="C8" s="29" t="inlineStr">
        <is>
          <t>capability estimate (range)</t>
        </is>
      </c>
      <c r="D8" s="38" t="inlineStr">
        <is>
          <t>DG2</t>
        </is>
      </c>
    </row>
    <row r="9">
      <c r="A9" s="27" t="inlineStr">
        <is>
          <t>'Digitally disadvantaged' - upper bound</t>
        </is>
      </c>
      <c r="B9" s="35">
        <f>IF(COUNTIFS('02_MASTER'!$B:$B,"DK.DGX.DISADV.HI",'02_MASTER'!$E:$E,2025)=0,"",SUMIFS('02_MASTER'!$F:$F,'02_MASTER'!$B:$B,"DK.DGX.DISADV.HI",'02_MASTER'!$E:$E,2025))</f>
        <v/>
      </c>
      <c r="C9" s="29" t="inlineStr">
        <is>
          <t>capability estimate (range)</t>
        </is>
      </c>
      <c r="D9" s="38" t="inlineStr">
        <is>
          <t>DG2</t>
        </is>
      </c>
    </row>
    <row r="10">
      <c r="A10" s="27" t="inlineStr">
        <is>
          <t>'Digitally disadvantaged' - Justitia</t>
        </is>
      </c>
      <c r="B10" s="35">
        <f>IF(COUNTIFS('02_MASTER'!$B:$B,"DK.DGX.JUST",'02_MASTER'!$E:$E,2022)=0,"",SUMIFS('02_MASTER'!$F:$F,'02_MASTER'!$B:$B,"DK.DGX.JUST",'02_MASTER'!$E:$E,2022))</f>
        <v/>
      </c>
      <c r="C10" s="29" t="inlineStr">
        <is>
          <t>broadest definition</t>
        </is>
      </c>
      <c r="D10" s="38" t="inlineStr">
        <is>
          <t>JU1</t>
        </is>
      </c>
    </row>
    <row r="12">
      <c r="A12" s="3" t="inlineStr">
        <is>
          <t>AGE GRADIENT IN FORMAL EXEMPTION (2022)</t>
        </is>
      </c>
    </row>
    <row r="13" ht="28" customHeight="1">
      <c r="A13" s="8" t="inlineStr">
        <is>
          <t>age group</t>
        </is>
      </c>
      <c r="B13" s="8" t="inlineStr">
        <is>
          <t>exempt (%)</t>
        </is>
      </c>
    </row>
    <row r="14">
      <c r="A14" s="27" t="inlineStr">
        <is>
          <t>Age 75-84</t>
        </is>
      </c>
      <c r="B14" s="36">
        <f>IF(COUNTIFS('02_MASTER'!$B:$B,"DK.DGP.EXMP.7584",'02_MASTER'!$E:$E,2022)=0,"",SUMIFS('02_MASTER'!$F:$F,'02_MASTER'!$B:$B,"DK.DGP.EXMP.7584",'02_MASTER'!$E:$E,2022))</f>
        <v/>
      </c>
    </row>
    <row r="15">
      <c r="A15" s="27" t="inlineStr">
        <is>
          <t>Age 85+</t>
        </is>
      </c>
      <c r="B15" s="36">
        <f>IF(COUNTIFS('02_MASTER'!$B:$B,"DK.DGP.EXMP.85P",'02_MASTER'!$E:$E,2022)=0,"",SUMIFS('02_MASTER'!$F:$F,'02_MASTER'!$B:$B,"DK.DGP.EXMP.85P",'02_MASTER'!$E:$E,2022))</f>
        <v/>
      </c>
    </row>
    <row r="17">
      <c r="A17" s="3" t="inlineStr">
        <is>
          <t>HEADCOUNTS, NOT SHARES</t>
        </is>
      </c>
    </row>
    <row r="18" ht="28" customHeight="1">
      <c r="A18" s="8" t="inlineStr">
        <is>
          <t>quantity</t>
        </is>
      </c>
      <c r="B18" s="8" t="inlineStr">
        <is>
          <t>persons</t>
        </is>
      </c>
      <c r="C18" s="8" t="inlineStr">
        <is>
          <t>basis</t>
        </is>
      </c>
    </row>
    <row r="19" ht="40" customHeight="1">
      <c r="A19" s="27" t="inlineStr">
        <is>
          <t>Citizens formally exempt, Q1 2026</t>
        </is>
      </c>
      <c r="B19" s="28">
        <f>IF(COUNTIFS('02_MASTER'!$B:$B,"DK.DGP.EXMP.N",'02_MASTER'!$E:$E,2026)=0,"",SUMIFS('02_MASTER'!$F:$F,'02_MASTER'!$B:$B,"DK.DGP.EXMP.N",'02_MASTER'!$E:$E,2026))</f>
        <v/>
      </c>
      <c r="C19" s="30" t="inlineStr">
        <is>
          <t>Reported directly by the Agency for Digital Government (DG1).</t>
        </is>
      </c>
    </row>
    <row r="20" ht="40" customHeight="1">
      <c r="A20" s="27" t="inlineStr">
        <is>
          <t>Citizens formally exempt, April 2025</t>
        </is>
      </c>
      <c r="B20" s="28">
        <f>IF(COUNTIFS('02_MASTER'!$B:$B,"DK.DGP.EXMP.N",'02_MASTER'!$E:$E,2025)=0,"",SUMIFS('02_MASTER'!$F:$F,'02_MASTER'!$B:$B,"DK.DGP.EXMP.N",'02_MASTER'!$E:$E,2025))</f>
        <v/>
      </c>
      <c r="C20" s="30" t="inlineStr">
        <is>
          <t>Reported as approximately 256,000 (DG1).</t>
        </is>
      </c>
    </row>
    <row r="21" ht="40" customHeight="1">
      <c r="A21" s="27" t="inlineStr">
        <is>
          <t>Implied population aged 15+</t>
        </is>
      </c>
      <c r="B21" s="28">
        <f>IF(COUNTIFS('02_MASTER'!$B:$B,"DK.DGP.EXMP.N",'02_MASTER'!$E:$E,2026)=0,"",SUMIFS('02_MASTER'!$F:$F,'02_MASTER'!$B:$B,"DK.DGP.EXMP.N",'02_MASTER'!$E:$E,2026))/(IF(COUNTIFS('02_MASTER'!$B:$B,"DK.DGP.EXMP",'02_MASTER'!$E:$E,2026)=0,"",SUMIFS('02_MASTER'!$F:$F,'02_MASTER'!$B:$B,"DK.DGP.EXMP",'02_MASTER'!$E:$E,2026))/100)</f>
        <v/>
      </c>
      <c r="C21" s="30" t="inlineStr">
        <is>
          <t>DERIVED, not retrieved: the exempt headcount divided by the exemption rate. Used only to convert the capability shares below into orders of magnitude. A published 15+ population figure was not verifiable in this session; see 06_RETAIL_GAP.</t>
        </is>
      </c>
    </row>
    <row r="22" ht="40" customHeight="1">
      <c r="A22" s="27" t="inlineStr">
        <is>
          <t>Implied persons who do not use digital public services at all</t>
        </is>
      </c>
      <c r="B22" s="28">
        <f>(IF(COUNTIFS('02_MASTER'!$B:$B,"DK.DGX.NOUSE",'02_MASTER'!$E:$E,2026)=0,"",SUMIFS('02_MASTER'!$F:$F,'02_MASTER'!$B:$B,"DK.DGX.NOUSE",'02_MASTER'!$E:$E,2026))/100)*(IF(COUNTIFS('02_MASTER'!$B:$B,"DK.DGP.EXMP.N",'02_MASTER'!$E:$E,2026)=0,"",SUMIFS('02_MASTER'!$F:$F,'02_MASTER'!$B:$B,"DK.DGP.EXMP.N",'02_MASTER'!$E:$E,2026))/(IF(COUNTIFS('02_MASTER'!$B:$B,"DK.DGP.EXMP",'02_MASTER'!$E:$E,2026)=0,"",SUMIFS('02_MASTER'!$F:$F,'02_MASTER'!$B:$B,"DK.DGP.EXMP",'02_MASTER'!$E:$E,2026))/100))</f>
        <v/>
      </c>
      <c r="C22" s="30" t="inlineStr">
        <is>
          <t>ORDER OF MAGNITUDE ONLY. Applies a share measured on 'the population' to a 15+ base; the denominators are not identical.</t>
        </is>
      </c>
    </row>
    <row r="23" ht="40" customHeight="1">
      <c r="A23" s="27" t="inlineStr">
        <is>
          <t>Implied persons facing difficulty with digital public services</t>
        </is>
      </c>
      <c r="B23" s="28">
        <f>(IF(COUNTIFS('02_MASTER'!$B:$B,"DK.DGX.DIFF",'02_MASTER'!$E:$E,2026)=0,"",SUMIFS('02_MASTER'!$F:$F,'02_MASTER'!$B:$B,"DK.DGX.DIFF",'02_MASTER'!$E:$E,2026))/100)*(IF(COUNTIFS('02_MASTER'!$B:$B,"DK.DGP.EXMP.N",'02_MASTER'!$E:$E,2026)=0,"",SUMIFS('02_MASTER'!$F:$F,'02_MASTER'!$B:$B,"DK.DGP.EXMP.N",'02_MASTER'!$E:$E,2026))/(IF(COUNTIFS('02_MASTER'!$B:$B,"DK.DGP.EXMP",'02_MASTER'!$E:$E,2026)=0,"",SUMIFS('02_MASTER'!$F:$F,'02_MASTER'!$B:$B,"DK.DGP.EXMP",'02_MASTER'!$E:$E,2026))/100))</f>
        <v/>
      </c>
      <c r="C23" s="30" t="inlineStr">
        <is>
          <t>ORDER OF MAGNITUDE ONLY, same caveat.</t>
        </is>
      </c>
    </row>
    <row r="25">
      <c r="A25" s="3" t="inlineStr">
        <is>
          <t>POLICY EVENTS ON THIS SERIES</t>
        </is>
      </c>
    </row>
    <row r="26" ht="28" customHeight="1">
      <c r="A26" s="8" t="inlineStr">
        <is>
          <t>date</t>
        </is>
      </c>
      <c r="B26" s="8" t="inlineStr">
        <is>
          <t>precision</t>
        </is>
      </c>
      <c r="C26" s="8" t="inlineStr">
        <is>
          <t>instrument</t>
        </is>
      </c>
      <c r="D26" s="8" t="inlineStr">
        <is>
          <t>citation</t>
        </is>
      </c>
      <c r="E26" s="8" t="inlineStr">
        <is>
          <t>source</t>
        </is>
      </c>
    </row>
    <row r="27">
      <c r="A27" s="23" t="inlineStr">
        <is>
          <t>2012-06-11</t>
        </is>
      </c>
      <c r="B27" s="15" t="inlineStr">
        <is>
          <t>day</t>
        </is>
      </c>
      <c r="C27" s="15" t="inlineStr">
        <is>
          <t>Lov om Offentlig Digital Post adopted</t>
        </is>
      </c>
      <c r="D27" s="15" t="inlineStr">
        <is>
          <t>LOV nr 528 af 11/06/2012</t>
        </is>
      </c>
      <c r="E27" s="23" t="inlineStr">
        <is>
          <t>RI1</t>
        </is>
      </c>
    </row>
    <row r="28">
      <c r="A28" s="23" t="inlineStr">
        <is>
          <t>2014-11-01</t>
        </is>
      </c>
      <c r="B28" s="15" t="inlineStr">
        <is>
          <t>day</t>
        </is>
      </c>
      <c r="C28" s="15" t="inlineStr">
        <is>
          <t>Digital Post becomes mandatory for citizens aged 15+</t>
        </is>
      </c>
      <c r="D28" s="15" t="inlineStr">
        <is>
          <t>Lov om Offentlig Digital Post</t>
        </is>
      </c>
      <c r="E28" s="23" t="inlineStr">
        <is>
          <t>DG4</t>
        </is>
      </c>
    </row>
    <row r="30">
      <c r="A30" s="34" t="inlineStr">
        <is>
          <t>Sources: DG1, DG2, EC1, JU1. Reading: the measures are nested rather than contradictory. Formal exemption (4.7%) is an administrative status; the capability measures are three to five times larger. The statutory exemption regime therefore reaches only a minority of the citizens the state's own agency counts as struggling. Which measure is chosen determines the conclusion - so the choice must be argued, not assumed.</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22" customWidth="1" min="1" max="1"/>
    <col width="10" customWidth="1" min="2" max="2"/>
    <col width="24" customWidth="1" min="3" max="3"/>
  </cols>
  <sheetData>
    <row r="1" ht="22" customHeight="1">
      <c r="A1" s="7" t="inlineStr">
        <is>
          <t>Figure 5 - Individuals who bought online, 2024</t>
        </is>
      </c>
    </row>
    <row r="2">
      <c r="A2" s="26" t="inlineStr">
        <is>
          <t>All 27 member states and the EU-27 aggregate, ranked. Denominator: % of internet users.</t>
        </is>
      </c>
    </row>
    <row r="3">
      <c r="E3" s="33" t="inlineStr">
        <is>
          <t>Individuals who bought online, 2024</t>
        </is>
      </c>
    </row>
    <row r="4" ht="28" customHeight="1">
      <c r="A4" s="8" t="inlineStr">
        <is>
          <t>country</t>
        </is>
      </c>
      <c r="B4" s="8" t="inlineStr">
        <is>
          <t>%</t>
        </is>
      </c>
      <c r="C4" s="8" t="inlineStr">
        <is>
          <t>series_code</t>
        </is>
      </c>
      <c r="E4" s="26" t="inlineStr">
        <is>
          <t>Denmark in blue, EU-27 aggregate in navy, member states in grey. Ranked descending.</t>
        </is>
      </c>
    </row>
    <row r="5">
      <c r="A5" s="27" t="inlineStr">
        <is>
          <t>Ireland</t>
        </is>
      </c>
      <c r="B5" s="32">
        <f>IF(COUNTIFS('02_MASTER'!$B:$B,"IE.ECM.IND.BUY",'02_MASTER'!$E:$E,2024)=0,"",SUMIFS('02_MASTER'!$F:$F,'02_MASTER'!$B:$B,"IE.ECM.IND.BUY",'02_MASTER'!$E:$E,2024))</f>
        <v/>
      </c>
      <c r="C5" s="38" t="inlineStr">
        <is>
          <t>IE.ECM.IND.BUY</t>
        </is>
      </c>
    </row>
    <row r="6">
      <c r="A6" s="27" t="inlineStr">
        <is>
          <t>Netherlands</t>
        </is>
      </c>
      <c r="B6" s="32">
        <f>IF(COUNTIFS('02_MASTER'!$B:$B,"NL.ECM.IND.BUY",'02_MASTER'!$E:$E,2024)=0,"",SUMIFS('02_MASTER'!$F:$F,'02_MASTER'!$B:$B,"NL.ECM.IND.BUY",'02_MASTER'!$E:$E,2024))</f>
        <v/>
      </c>
      <c r="C6" s="38" t="inlineStr">
        <is>
          <t>NL.ECM.IND.BUY</t>
        </is>
      </c>
    </row>
    <row r="7">
      <c r="A7" s="27" t="inlineStr">
        <is>
          <t>Denmark</t>
        </is>
      </c>
      <c r="B7" s="32">
        <f>IF(COUNTIFS('02_MASTER'!$B:$B,"DK.ECM.IND.BUY",'02_MASTER'!$E:$E,2024)=0,"",SUMIFS('02_MASTER'!$F:$F,'02_MASTER'!$B:$B,"DK.ECM.IND.BUY",'02_MASTER'!$E:$E,2024))</f>
        <v/>
      </c>
      <c r="C7" s="38" t="inlineStr">
        <is>
          <t>DK.ECM.IND.BUY</t>
        </is>
      </c>
    </row>
    <row r="8">
      <c r="A8" s="27" t="inlineStr">
        <is>
          <t>Sweden</t>
        </is>
      </c>
      <c r="B8" s="32">
        <f>IF(COUNTIFS('02_MASTER'!$B:$B,"SE.ECM.IND.BUY",'02_MASTER'!$E:$E,2024)=0,"",SUMIFS('02_MASTER'!$F:$F,'02_MASTER'!$B:$B,"SE.ECM.IND.BUY",'02_MASTER'!$E:$E,2024))</f>
        <v/>
      </c>
      <c r="C8" s="38" t="inlineStr">
        <is>
          <t>SE.ECM.IND.BUY</t>
        </is>
      </c>
    </row>
    <row r="9">
      <c r="A9" s="27" t="inlineStr">
        <is>
          <t>Czechia</t>
        </is>
      </c>
      <c r="B9" s="32">
        <f>IF(COUNTIFS('02_MASTER'!$B:$B,"CZ.ECM.IND.BUY",'02_MASTER'!$E:$E,2024)=0,"",SUMIFS('02_MASTER'!$F:$F,'02_MASTER'!$B:$B,"CZ.ECM.IND.BUY",'02_MASTER'!$E:$E,2024))</f>
        <v/>
      </c>
      <c r="C9" s="38" t="inlineStr">
        <is>
          <t>CZ.ECM.IND.BUY</t>
        </is>
      </c>
    </row>
    <row r="10">
      <c r="A10" s="27" t="inlineStr">
        <is>
          <t>Slovakia</t>
        </is>
      </c>
      <c r="B10" s="32">
        <f>IF(COUNTIFS('02_MASTER'!$B:$B,"SK.ECM.IND.BUY",'02_MASTER'!$E:$E,2024)=0,"",SUMIFS('02_MASTER'!$F:$F,'02_MASTER'!$B:$B,"SK.ECM.IND.BUY",'02_MASTER'!$E:$E,2024))</f>
        <v/>
      </c>
      <c r="C10" s="38" t="inlineStr">
        <is>
          <t>SK.ECM.IND.BUY</t>
        </is>
      </c>
    </row>
    <row r="11">
      <c r="A11" s="27" t="inlineStr">
        <is>
          <t>France</t>
        </is>
      </c>
      <c r="B11" s="32">
        <f>IF(COUNTIFS('02_MASTER'!$B:$B,"FR.ECM.IND.BUY",'02_MASTER'!$E:$E,2024)=0,"",SUMIFS('02_MASTER'!$F:$F,'02_MASTER'!$B:$B,"FR.ECM.IND.BUY",'02_MASTER'!$E:$E,2024))</f>
        <v/>
      </c>
      <c r="C11" s="38" t="inlineStr">
        <is>
          <t>FR.ECM.IND.BUY</t>
        </is>
      </c>
    </row>
    <row r="12">
      <c r="A12" s="27" t="inlineStr">
        <is>
          <t>Germany</t>
        </is>
      </c>
      <c r="B12" s="32">
        <f>IF(COUNTIFS('02_MASTER'!$B:$B,"DE.ECM.IND.BUY",'02_MASTER'!$E:$E,2024)=0,"",SUMIFS('02_MASTER'!$F:$F,'02_MASTER'!$B:$B,"DE.ECM.IND.BUY",'02_MASTER'!$E:$E,2024))</f>
        <v/>
      </c>
      <c r="C12" s="38" t="inlineStr">
        <is>
          <t>DE.ECM.IND.BUY</t>
        </is>
      </c>
    </row>
    <row r="13">
      <c r="A13" s="27" t="inlineStr">
        <is>
          <t>Luxembourg</t>
        </is>
      </c>
      <c r="B13" s="32">
        <f>IF(COUNTIFS('02_MASTER'!$B:$B,"LU.ECM.IND.BUY",'02_MASTER'!$E:$E,2024)=0,"",SUMIFS('02_MASTER'!$F:$F,'02_MASTER'!$B:$B,"LU.ECM.IND.BUY",'02_MASTER'!$E:$E,2024))</f>
        <v/>
      </c>
      <c r="C13" s="38" t="inlineStr">
        <is>
          <t>LU.ECM.IND.BUY</t>
        </is>
      </c>
    </row>
    <row r="14">
      <c r="A14" s="27" t="inlineStr">
        <is>
          <t>Finland</t>
        </is>
      </c>
      <c r="B14" s="32">
        <f>IF(COUNTIFS('02_MASTER'!$B:$B,"FI.ECM.IND.BUY",'02_MASTER'!$E:$E,2024)=0,"",SUMIFS('02_MASTER'!$F:$F,'02_MASTER'!$B:$B,"FI.ECM.IND.BUY",'02_MASTER'!$E:$E,2024))</f>
        <v/>
      </c>
      <c r="C14" s="38" t="inlineStr">
        <is>
          <t>FI.ECM.IND.BUY</t>
        </is>
      </c>
    </row>
    <row r="15">
      <c r="A15" s="27" t="inlineStr">
        <is>
          <t>Belgium</t>
        </is>
      </c>
      <c r="B15" s="32">
        <f>IF(COUNTIFS('02_MASTER'!$B:$B,"BE.ECM.IND.BUY",'02_MASTER'!$E:$E,2024)=0,"",SUMIFS('02_MASTER'!$F:$F,'02_MASTER'!$B:$B,"BE.ECM.IND.BUY",'02_MASTER'!$E:$E,2024))</f>
        <v/>
      </c>
      <c r="C15" s="38" t="inlineStr">
        <is>
          <t>BE.ECM.IND.BUY</t>
        </is>
      </c>
    </row>
    <row r="16">
      <c r="A16" s="27" t="inlineStr">
        <is>
          <t>Hungary</t>
        </is>
      </c>
      <c r="B16" s="32">
        <f>IF(COUNTIFS('02_MASTER'!$B:$B,"HU.ECM.IND.BUY",'02_MASTER'!$E:$E,2024)=0,"",SUMIFS('02_MASTER'!$F:$F,'02_MASTER'!$B:$B,"HU.ECM.IND.BUY",'02_MASTER'!$E:$E,2024))</f>
        <v/>
      </c>
      <c r="C16" s="38" t="inlineStr">
        <is>
          <t>HU.ECM.IND.BUY</t>
        </is>
      </c>
    </row>
    <row r="17">
      <c r="A17" s="27" t="inlineStr">
        <is>
          <t>Estonia</t>
        </is>
      </c>
      <c r="B17" s="32">
        <f>IF(COUNTIFS('02_MASTER'!$B:$B,"EE.ECM.IND.BUY",'02_MASTER'!$E:$E,2024)=0,"",SUMIFS('02_MASTER'!$F:$F,'02_MASTER'!$B:$B,"EE.ECM.IND.BUY",'02_MASTER'!$E:$E,2024))</f>
        <v/>
      </c>
      <c r="C17" s="38" t="inlineStr">
        <is>
          <t>EE.ECM.IND.BUY</t>
        </is>
      </c>
    </row>
    <row r="18">
      <c r="A18" s="27" t="inlineStr">
        <is>
          <t>EU-27 average</t>
        </is>
      </c>
      <c r="B18" s="32">
        <f>IF(COUNTIFS('02_MASTER'!$B:$B,"EU.ECM.IND.BUY",'02_MASTER'!$E:$E,2024)=0,"",SUMIFS('02_MASTER'!$F:$F,'02_MASTER'!$B:$B,"EU.ECM.IND.BUY",'02_MASTER'!$E:$E,2024))</f>
        <v/>
      </c>
      <c r="C18" s="38" t="inlineStr">
        <is>
          <t>EU.ECM.IND.BUY</t>
        </is>
      </c>
    </row>
    <row r="19">
      <c r="A19" s="27" t="inlineStr">
        <is>
          <t>Poland</t>
        </is>
      </c>
      <c r="B19" s="32">
        <f>IF(COUNTIFS('02_MASTER'!$B:$B,"PL.ECM.IND.BUY",'02_MASTER'!$E:$E,2024)=0,"",SUMIFS('02_MASTER'!$F:$F,'02_MASTER'!$B:$B,"PL.ECM.IND.BUY",'02_MASTER'!$E:$E,2024))</f>
        <v/>
      </c>
      <c r="C19" s="38" t="inlineStr">
        <is>
          <t>PL.ECM.IND.BUY</t>
        </is>
      </c>
    </row>
    <row r="20">
      <c r="A20" s="27" t="inlineStr">
        <is>
          <t>Greece</t>
        </is>
      </c>
      <c r="B20" s="32">
        <f>IF(COUNTIFS('02_MASTER'!$B:$B,"EL.ECM.IND.BUY",'02_MASTER'!$E:$E,2024)=0,"",SUMIFS('02_MASTER'!$F:$F,'02_MASTER'!$B:$B,"EL.ECM.IND.BUY",'02_MASTER'!$E:$E,2024))</f>
        <v/>
      </c>
      <c r="C20" s="38" t="inlineStr">
        <is>
          <t>EL.ECM.IND.BUY</t>
        </is>
      </c>
    </row>
    <row r="21">
      <c r="A21" s="27" t="inlineStr">
        <is>
          <t>Austria</t>
        </is>
      </c>
      <c r="B21" s="32">
        <f>IF(COUNTIFS('02_MASTER'!$B:$B,"AT.ECM.IND.BUY",'02_MASTER'!$E:$E,2024)=0,"",SUMIFS('02_MASTER'!$F:$F,'02_MASTER'!$B:$B,"AT.ECM.IND.BUY",'02_MASTER'!$E:$E,2024))</f>
        <v/>
      </c>
      <c r="C21" s="38" t="inlineStr">
        <is>
          <t>AT.ECM.IND.BUY</t>
        </is>
      </c>
    </row>
    <row r="22">
      <c r="A22" s="27" t="inlineStr">
        <is>
          <t>Malta</t>
        </is>
      </c>
      <c r="B22" s="32">
        <f>IF(COUNTIFS('02_MASTER'!$B:$B,"MT.ECM.IND.BUY",'02_MASTER'!$E:$E,2024)=0,"",SUMIFS('02_MASTER'!$F:$F,'02_MASTER'!$B:$B,"MT.ECM.IND.BUY",'02_MASTER'!$E:$E,2024))</f>
        <v/>
      </c>
      <c r="C22" s="38" t="inlineStr">
        <is>
          <t>MT.ECM.IND.BUY</t>
        </is>
      </c>
    </row>
    <row r="23">
      <c r="A23" s="27" t="inlineStr">
        <is>
          <t>Slovenia</t>
        </is>
      </c>
      <c r="B23" s="32">
        <f>IF(COUNTIFS('02_MASTER'!$B:$B,"SI.ECM.IND.BUY",'02_MASTER'!$E:$E,2024)=0,"",SUMIFS('02_MASTER'!$F:$F,'02_MASTER'!$B:$B,"SI.ECM.IND.BUY",'02_MASTER'!$E:$E,2024))</f>
        <v/>
      </c>
      <c r="C23" s="38" t="inlineStr">
        <is>
          <t>SI.ECM.IND.BUY</t>
        </is>
      </c>
    </row>
    <row r="24">
      <c r="A24" s="27" t="inlineStr">
        <is>
          <t>Lithuania</t>
        </is>
      </c>
      <c r="B24" s="32">
        <f>IF(COUNTIFS('02_MASTER'!$B:$B,"LT.ECM.IND.BUY",'02_MASTER'!$E:$E,2024)=0,"",SUMIFS('02_MASTER'!$F:$F,'02_MASTER'!$B:$B,"LT.ECM.IND.BUY",'02_MASTER'!$E:$E,2024))</f>
        <v/>
      </c>
      <c r="C24" s="38" t="inlineStr">
        <is>
          <t>LT.ECM.IND.BUY</t>
        </is>
      </c>
    </row>
    <row r="25">
      <c r="A25" s="27" t="inlineStr">
        <is>
          <t>Spain</t>
        </is>
      </c>
      <c r="B25" s="32">
        <f>IF(COUNTIFS('02_MASTER'!$B:$B,"ES.ECM.IND.BUY",'02_MASTER'!$E:$E,2024)=0,"",SUMIFS('02_MASTER'!$F:$F,'02_MASTER'!$B:$B,"ES.ECM.IND.BUY",'02_MASTER'!$E:$E,2024))</f>
        <v/>
      </c>
      <c r="C25" s="38" t="inlineStr">
        <is>
          <t>ES.ECM.IND.BUY</t>
        </is>
      </c>
    </row>
    <row r="26">
      <c r="A26" s="27" t="inlineStr">
        <is>
          <t>Croatia</t>
        </is>
      </c>
      <c r="B26" s="32">
        <f>IF(COUNTIFS('02_MASTER'!$B:$B,"HR.ECM.IND.BUY",'02_MASTER'!$E:$E,2024)=0,"",SUMIFS('02_MASTER'!$F:$F,'02_MASTER'!$B:$B,"HR.ECM.IND.BUY",'02_MASTER'!$E:$E,2024))</f>
        <v/>
      </c>
      <c r="C26" s="38" t="inlineStr">
        <is>
          <t>HR.ECM.IND.BUY</t>
        </is>
      </c>
    </row>
    <row r="27">
      <c r="A27" s="27" t="inlineStr">
        <is>
          <t>Latvia</t>
        </is>
      </c>
      <c r="B27" s="32">
        <f>IF(COUNTIFS('02_MASTER'!$B:$B,"LV.ECM.IND.BUY",'02_MASTER'!$E:$E,2024)=0,"",SUMIFS('02_MASTER'!$F:$F,'02_MASTER'!$B:$B,"LV.ECM.IND.BUY",'02_MASTER'!$E:$E,2024))</f>
        <v/>
      </c>
      <c r="C27" s="38" t="inlineStr">
        <is>
          <t>LV.ECM.IND.BUY</t>
        </is>
      </c>
    </row>
    <row r="28">
      <c r="A28" s="27" t="inlineStr">
        <is>
          <t>Cyprus</t>
        </is>
      </c>
      <c r="B28" s="32">
        <f>IF(COUNTIFS('02_MASTER'!$B:$B,"CY.ECM.IND.BUY",'02_MASTER'!$E:$E,2024)=0,"",SUMIFS('02_MASTER'!$F:$F,'02_MASTER'!$B:$B,"CY.ECM.IND.BUY",'02_MASTER'!$E:$E,2024))</f>
        <v/>
      </c>
      <c r="C28" s="38" t="inlineStr">
        <is>
          <t>CY.ECM.IND.BUY</t>
        </is>
      </c>
    </row>
    <row r="29">
      <c r="A29" s="27" t="inlineStr">
        <is>
          <t>Portugal</t>
        </is>
      </c>
      <c r="B29" s="32">
        <f>IF(COUNTIFS('02_MASTER'!$B:$B,"PT.ECM.IND.BUY",'02_MASTER'!$E:$E,2024)=0,"",SUMIFS('02_MASTER'!$F:$F,'02_MASTER'!$B:$B,"PT.ECM.IND.BUY",'02_MASTER'!$E:$E,2024))</f>
        <v/>
      </c>
      <c r="C29" s="38" t="inlineStr">
        <is>
          <t>PT.ECM.IND.BUY</t>
        </is>
      </c>
    </row>
    <row r="30">
      <c r="A30" s="27" t="inlineStr">
        <is>
          <t>Romania</t>
        </is>
      </c>
      <c r="B30" s="32">
        <f>IF(COUNTIFS('02_MASTER'!$B:$B,"RO.ECM.IND.BUY",'02_MASTER'!$E:$E,2024)=0,"",SUMIFS('02_MASTER'!$F:$F,'02_MASTER'!$B:$B,"RO.ECM.IND.BUY",'02_MASTER'!$E:$E,2024))</f>
        <v/>
      </c>
      <c r="C30" s="38" t="inlineStr">
        <is>
          <t>RO.ECM.IND.BUY</t>
        </is>
      </c>
    </row>
    <row r="31">
      <c r="A31" s="27" t="inlineStr">
        <is>
          <t>Italy</t>
        </is>
      </c>
      <c r="B31" s="32">
        <f>IF(COUNTIFS('02_MASTER'!$B:$B,"IT.ECM.IND.BUY",'02_MASTER'!$E:$E,2024)=0,"",SUMIFS('02_MASTER'!$F:$F,'02_MASTER'!$B:$B,"IT.ECM.IND.BUY",'02_MASTER'!$E:$E,2024))</f>
        <v/>
      </c>
      <c r="C31" s="38" t="inlineStr">
        <is>
          <t>IT.ECM.IND.BUY</t>
        </is>
      </c>
    </row>
    <row r="32">
      <c r="A32" s="27" t="inlineStr">
        <is>
          <t>Bulgaria</t>
        </is>
      </c>
      <c r="B32" s="32">
        <f>IF(COUNTIFS('02_MASTER'!$B:$B,"BG.ECM.IND.BUY",'02_MASTER'!$E:$E,2024)=0,"",SUMIFS('02_MASTER'!$F:$F,'02_MASTER'!$B:$B,"BG.ECM.IND.BUY",'02_MASTER'!$E:$E,2024))</f>
        <v/>
      </c>
      <c r="C32" s="38" t="inlineStr">
        <is>
          <t>BG.ECM.IND.BUY</t>
        </is>
      </c>
    </row>
    <row r="34">
      <c r="A34" s="34" t="inlineStr">
        <is>
          <t>Source: Eurostat isoc_ec_ib20, complete databrowser extract for 2024 (ES7), unrounded. This replaces an earlier 8-country version built from rounded press-release figures; on those the Italian and Romanian values both read 60% and appeared tied, while unrounded Italy is second lowest at 59.60 and Romania is above it at 59.73. Bulgaria remains the lowest of the 27 at 57.18. The ranking above is computed from the data at build time, so it cannot fall out of step with 02_MASTER. Denominator is % of internet users, not % of individuals - see 04_DEFINITIONS.</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56"/>
  <sheetViews>
    <sheetView showGridLines="0" workbookViewId="0">
      <selection activeCell="A1" sqref="A1"/>
    </sheetView>
  </sheetViews>
  <sheetFormatPr baseColWidth="8" defaultRowHeight="15"/>
  <cols>
    <col width="20" customWidth="1" min="1" max="1"/>
    <col width="8" customWidth="1" min="2" max="2"/>
    <col width="74" customWidth="1" min="3" max="3"/>
    <col width="30" customWidth="1" min="4" max="4"/>
  </cols>
  <sheetData>
    <row r="1" ht="22" customHeight="1">
      <c r="A1" s="7" t="inlineStr">
        <is>
          <t>Figure 6 - Does more digital adoption mean more economic activity?</t>
        </is>
      </c>
    </row>
    <row r="2">
      <c r="A2" s="26" t="inlineStr">
        <is>
          <t>EU cross-section, 2024. X = consumer adoption. Y = share of enterprise turnover from e-sales.</t>
        </is>
      </c>
    </row>
    <row r="3">
      <c r="F3" s="33" t="inlineStr">
        <is>
          <t>Digital adoption and e-commerce turnover, EU 2024</t>
        </is>
      </c>
    </row>
    <row r="4" ht="28" customHeight="1">
      <c r="A4" s="8" t="inlineStr">
        <is>
          <t>country</t>
        </is>
      </c>
      <c r="B4" s="8" t="inlineStr">
        <is>
          <t>code</t>
        </is>
      </c>
      <c r="C4" s="8" t="inlineStr">
        <is>
          <t>X: individuals buying online (%)</t>
        </is>
      </c>
      <c r="D4" s="8" t="inlineStr">
        <is>
          <t>Y: e-sales share of turnover (%)</t>
        </is>
      </c>
      <c r="F4" s="26" t="inlineStr">
        <is>
          <t>One point per member state with both measures. Fitted by ordinary least squares; see the statistics below.</t>
        </is>
      </c>
    </row>
    <row r="5">
      <c r="A5" s="27" t="inlineStr">
        <is>
          <t>Austria</t>
        </is>
      </c>
      <c r="B5" s="38" t="inlineStr">
        <is>
          <t>AT</t>
        </is>
      </c>
      <c r="C5" s="32">
        <f>IF(COUNTIFS('02_MASTER'!$B:$B,"AT.ECM.IND.BUY",'02_MASTER'!$E:$E,2024)=0,"",SUMIFS('02_MASTER'!$F:$F,'02_MASTER'!$B:$B,"AT.ECM.IND.BUY",'02_MASTER'!$E:$E,2024))</f>
        <v/>
      </c>
      <c r="D5" s="32">
        <f>IF(COUNTIFS('02_MASTER'!$B:$B,"AT.ECM.ENT.TRN",'02_MASTER'!$E:$E,2024)=0,"",SUMIFS('02_MASTER'!$F:$F,'02_MASTER'!$B:$B,"AT.ECM.ENT.TRN",'02_MASTER'!$E:$E,2024))</f>
        <v/>
      </c>
    </row>
    <row r="6">
      <c r="A6" s="27" t="inlineStr">
        <is>
          <t>Belgium</t>
        </is>
      </c>
      <c r="B6" s="38" t="inlineStr">
        <is>
          <t>BE</t>
        </is>
      </c>
      <c r="C6" s="32">
        <f>IF(COUNTIFS('02_MASTER'!$B:$B,"BE.ECM.IND.BUY",'02_MASTER'!$E:$E,2024)=0,"",SUMIFS('02_MASTER'!$F:$F,'02_MASTER'!$B:$B,"BE.ECM.IND.BUY",'02_MASTER'!$E:$E,2024))</f>
        <v/>
      </c>
      <c r="D6" s="32">
        <f>IF(COUNTIFS('02_MASTER'!$B:$B,"BE.ECM.ENT.TRN",'02_MASTER'!$E:$E,2024)=0,"",SUMIFS('02_MASTER'!$F:$F,'02_MASTER'!$B:$B,"BE.ECM.ENT.TRN",'02_MASTER'!$E:$E,2024))</f>
        <v/>
      </c>
    </row>
    <row r="7">
      <c r="A7" s="27" t="inlineStr">
        <is>
          <t>Bulgaria</t>
        </is>
      </c>
      <c r="B7" s="38" t="inlineStr">
        <is>
          <t>BG</t>
        </is>
      </c>
      <c r="C7" s="32">
        <f>IF(COUNTIFS('02_MASTER'!$B:$B,"BG.ECM.IND.BUY",'02_MASTER'!$E:$E,2024)=0,"",SUMIFS('02_MASTER'!$F:$F,'02_MASTER'!$B:$B,"BG.ECM.IND.BUY",'02_MASTER'!$E:$E,2024))</f>
        <v/>
      </c>
      <c r="D7" s="32">
        <f>IF(COUNTIFS('02_MASTER'!$B:$B,"BG.ECM.ENT.TRN",'02_MASTER'!$E:$E,2024)=0,"",SUMIFS('02_MASTER'!$F:$F,'02_MASTER'!$B:$B,"BG.ECM.ENT.TRN",'02_MASTER'!$E:$E,2024))</f>
        <v/>
      </c>
    </row>
    <row r="8">
      <c r="A8" s="27" t="inlineStr">
        <is>
          <t>Cyprus</t>
        </is>
      </c>
      <c r="B8" s="38" t="inlineStr">
        <is>
          <t>CY</t>
        </is>
      </c>
      <c r="C8" s="32">
        <f>IF(COUNTIFS('02_MASTER'!$B:$B,"CY.ECM.IND.BUY",'02_MASTER'!$E:$E,2024)=0,"",SUMIFS('02_MASTER'!$F:$F,'02_MASTER'!$B:$B,"CY.ECM.IND.BUY",'02_MASTER'!$E:$E,2024))</f>
        <v/>
      </c>
      <c r="D8" s="32">
        <f>IF(COUNTIFS('02_MASTER'!$B:$B,"CY.ECM.ENT.TRN",'02_MASTER'!$E:$E,2024)=0,"",SUMIFS('02_MASTER'!$F:$F,'02_MASTER'!$B:$B,"CY.ECM.ENT.TRN",'02_MASTER'!$E:$E,2024))</f>
        <v/>
      </c>
    </row>
    <row r="9">
      <c r="A9" s="27" t="inlineStr">
        <is>
          <t>Czechia</t>
        </is>
      </c>
      <c r="B9" s="38" t="inlineStr">
        <is>
          <t>CZ</t>
        </is>
      </c>
      <c r="C9" s="32">
        <f>IF(COUNTIFS('02_MASTER'!$B:$B,"CZ.ECM.IND.BUY",'02_MASTER'!$E:$E,2024)=0,"",SUMIFS('02_MASTER'!$F:$F,'02_MASTER'!$B:$B,"CZ.ECM.IND.BUY",'02_MASTER'!$E:$E,2024))</f>
        <v/>
      </c>
      <c r="D9" s="32">
        <f>IF(COUNTIFS('02_MASTER'!$B:$B,"CZ.ECM.ENT.TRN",'02_MASTER'!$E:$E,2024)=0,"",SUMIFS('02_MASTER'!$F:$F,'02_MASTER'!$B:$B,"CZ.ECM.ENT.TRN",'02_MASTER'!$E:$E,2024))</f>
        <v/>
      </c>
    </row>
    <row r="10">
      <c r="A10" s="27" t="inlineStr">
        <is>
          <t>Germany</t>
        </is>
      </c>
      <c r="B10" s="38" t="inlineStr">
        <is>
          <t>DE</t>
        </is>
      </c>
      <c r="C10" s="32">
        <f>IF(COUNTIFS('02_MASTER'!$B:$B,"DE.ECM.IND.BUY",'02_MASTER'!$E:$E,2024)=0,"",SUMIFS('02_MASTER'!$F:$F,'02_MASTER'!$B:$B,"DE.ECM.IND.BUY",'02_MASTER'!$E:$E,2024))</f>
        <v/>
      </c>
      <c r="D10" s="32">
        <f>IF(COUNTIFS('02_MASTER'!$B:$B,"DE.ECM.ENT.TRN",'02_MASTER'!$E:$E,2024)=0,"",SUMIFS('02_MASTER'!$F:$F,'02_MASTER'!$B:$B,"DE.ECM.ENT.TRN",'02_MASTER'!$E:$E,2024))</f>
        <v/>
      </c>
    </row>
    <row r="11">
      <c r="A11" s="27" t="inlineStr">
        <is>
          <t>Denmark</t>
        </is>
      </c>
      <c r="B11" s="38" t="inlineStr">
        <is>
          <t>DK</t>
        </is>
      </c>
      <c r="C11" s="32">
        <f>IF(COUNTIFS('02_MASTER'!$B:$B,"DK.ECM.IND.BUY",'02_MASTER'!$E:$E,2024)=0,"",SUMIFS('02_MASTER'!$F:$F,'02_MASTER'!$B:$B,"DK.ECM.IND.BUY",'02_MASTER'!$E:$E,2024))</f>
        <v/>
      </c>
      <c r="D11" s="32">
        <f>IF(COUNTIFS('02_MASTER'!$B:$B,"DK.ECM.ENT.TRN",'02_MASTER'!$E:$E,2024)=0,"",SUMIFS('02_MASTER'!$F:$F,'02_MASTER'!$B:$B,"DK.ECM.ENT.TRN",'02_MASTER'!$E:$E,2024))</f>
        <v/>
      </c>
    </row>
    <row r="12">
      <c r="A12" s="27" t="inlineStr">
        <is>
          <t>Spain</t>
        </is>
      </c>
      <c r="B12" s="38" t="inlineStr">
        <is>
          <t>ES</t>
        </is>
      </c>
      <c r="C12" s="32">
        <f>IF(COUNTIFS('02_MASTER'!$B:$B,"ES.ECM.IND.BUY",'02_MASTER'!$E:$E,2024)=0,"",SUMIFS('02_MASTER'!$F:$F,'02_MASTER'!$B:$B,"ES.ECM.IND.BUY",'02_MASTER'!$E:$E,2024))</f>
        <v/>
      </c>
      <c r="D12" s="32">
        <f>IF(COUNTIFS('02_MASTER'!$B:$B,"ES.ECM.ENT.TRN",'02_MASTER'!$E:$E,2024)=0,"",SUMIFS('02_MASTER'!$F:$F,'02_MASTER'!$B:$B,"ES.ECM.ENT.TRN",'02_MASTER'!$E:$E,2024))</f>
        <v/>
      </c>
    </row>
    <row r="13">
      <c r="A13" s="27" t="inlineStr">
        <is>
          <t>France</t>
        </is>
      </c>
      <c r="B13" s="38" t="inlineStr">
        <is>
          <t>FR</t>
        </is>
      </c>
      <c r="C13" s="32">
        <f>IF(COUNTIFS('02_MASTER'!$B:$B,"FR.ECM.IND.BUY",'02_MASTER'!$E:$E,2024)=0,"",SUMIFS('02_MASTER'!$F:$F,'02_MASTER'!$B:$B,"FR.ECM.IND.BUY",'02_MASTER'!$E:$E,2024))</f>
        <v/>
      </c>
      <c r="D13" s="32">
        <f>IF(COUNTIFS('02_MASTER'!$B:$B,"FR.ECM.ENT.TRN",'02_MASTER'!$E:$E,2024)=0,"",SUMIFS('02_MASTER'!$F:$F,'02_MASTER'!$B:$B,"FR.ECM.ENT.TRN",'02_MASTER'!$E:$E,2024))</f>
        <v/>
      </c>
    </row>
    <row r="14">
      <c r="A14" s="27" t="inlineStr">
        <is>
          <t>Croatia</t>
        </is>
      </c>
      <c r="B14" s="38" t="inlineStr">
        <is>
          <t>HR</t>
        </is>
      </c>
      <c r="C14" s="32">
        <f>IF(COUNTIFS('02_MASTER'!$B:$B,"HR.ECM.IND.BUY",'02_MASTER'!$E:$E,2024)=0,"",SUMIFS('02_MASTER'!$F:$F,'02_MASTER'!$B:$B,"HR.ECM.IND.BUY",'02_MASTER'!$E:$E,2024))</f>
        <v/>
      </c>
      <c r="D14" s="32">
        <f>IF(COUNTIFS('02_MASTER'!$B:$B,"HR.ECM.ENT.TRN",'02_MASTER'!$E:$E,2024)=0,"",SUMIFS('02_MASTER'!$F:$F,'02_MASTER'!$B:$B,"HR.ECM.ENT.TRN",'02_MASTER'!$E:$E,2024))</f>
        <v/>
      </c>
    </row>
    <row r="15">
      <c r="A15" s="27" t="inlineStr">
        <is>
          <t>Hungary</t>
        </is>
      </c>
      <c r="B15" s="38" t="inlineStr">
        <is>
          <t>HU</t>
        </is>
      </c>
      <c r="C15" s="32">
        <f>IF(COUNTIFS('02_MASTER'!$B:$B,"HU.ECM.IND.BUY",'02_MASTER'!$E:$E,2024)=0,"",SUMIFS('02_MASTER'!$F:$F,'02_MASTER'!$B:$B,"HU.ECM.IND.BUY",'02_MASTER'!$E:$E,2024))</f>
        <v/>
      </c>
      <c r="D15" s="32">
        <f>IF(COUNTIFS('02_MASTER'!$B:$B,"HU.ECM.ENT.TRN",'02_MASTER'!$E:$E,2024)=0,"",SUMIFS('02_MASTER'!$F:$F,'02_MASTER'!$B:$B,"HU.ECM.ENT.TRN",'02_MASTER'!$E:$E,2024))</f>
        <v/>
      </c>
    </row>
    <row r="16">
      <c r="A16" s="27" t="inlineStr">
        <is>
          <t>Ireland</t>
        </is>
      </c>
      <c r="B16" s="38" t="inlineStr">
        <is>
          <t>IE</t>
        </is>
      </c>
      <c r="C16" s="32">
        <f>IF(COUNTIFS('02_MASTER'!$B:$B,"IE.ECM.IND.BUY",'02_MASTER'!$E:$E,2024)=0,"",SUMIFS('02_MASTER'!$F:$F,'02_MASTER'!$B:$B,"IE.ECM.IND.BUY",'02_MASTER'!$E:$E,2024))</f>
        <v/>
      </c>
      <c r="D16" s="32">
        <f>IF(COUNTIFS('02_MASTER'!$B:$B,"IE.ECM.ENT.TRN",'02_MASTER'!$E:$E,2024)=0,"",SUMIFS('02_MASTER'!$F:$F,'02_MASTER'!$B:$B,"IE.ECM.ENT.TRN",'02_MASTER'!$E:$E,2024))</f>
        <v/>
      </c>
    </row>
    <row r="17">
      <c r="A17" s="27" t="inlineStr">
        <is>
          <t>Italy</t>
        </is>
      </c>
      <c r="B17" s="38" t="inlineStr">
        <is>
          <t>IT</t>
        </is>
      </c>
      <c r="C17" s="32">
        <f>IF(COUNTIFS('02_MASTER'!$B:$B,"IT.ECM.IND.BUY",'02_MASTER'!$E:$E,2024)=0,"",SUMIFS('02_MASTER'!$F:$F,'02_MASTER'!$B:$B,"IT.ECM.IND.BUY",'02_MASTER'!$E:$E,2024))</f>
        <v/>
      </c>
      <c r="D17" s="32">
        <f>IF(COUNTIFS('02_MASTER'!$B:$B,"IT.ECM.ENT.TRN",'02_MASTER'!$E:$E,2024)=0,"",SUMIFS('02_MASTER'!$F:$F,'02_MASTER'!$B:$B,"IT.ECM.ENT.TRN",'02_MASTER'!$E:$E,2024))</f>
        <v/>
      </c>
    </row>
    <row r="18">
      <c r="A18" s="27" t="inlineStr">
        <is>
          <t>Luxembourg</t>
        </is>
      </c>
      <c r="B18" s="38" t="inlineStr">
        <is>
          <t>LU</t>
        </is>
      </c>
      <c r="C18" s="32">
        <f>IF(COUNTIFS('02_MASTER'!$B:$B,"LU.ECM.IND.BUY",'02_MASTER'!$E:$E,2024)=0,"",SUMIFS('02_MASTER'!$F:$F,'02_MASTER'!$B:$B,"LU.ECM.IND.BUY",'02_MASTER'!$E:$E,2024))</f>
        <v/>
      </c>
      <c r="D18" s="32">
        <f>IF(COUNTIFS('02_MASTER'!$B:$B,"LU.ECM.ENT.TRN",'02_MASTER'!$E:$E,2024)=0,"",SUMIFS('02_MASTER'!$F:$F,'02_MASTER'!$B:$B,"LU.ECM.ENT.TRN",'02_MASTER'!$E:$E,2024))</f>
        <v/>
      </c>
    </row>
    <row r="19">
      <c r="A19" s="27" t="inlineStr">
        <is>
          <t>Malta</t>
        </is>
      </c>
      <c r="B19" s="38" t="inlineStr">
        <is>
          <t>MT</t>
        </is>
      </c>
      <c r="C19" s="32">
        <f>IF(COUNTIFS('02_MASTER'!$B:$B,"MT.ECM.IND.BUY",'02_MASTER'!$E:$E,2024)=0,"",SUMIFS('02_MASTER'!$F:$F,'02_MASTER'!$B:$B,"MT.ECM.IND.BUY",'02_MASTER'!$E:$E,2024))</f>
        <v/>
      </c>
      <c r="D19" s="32">
        <f>IF(COUNTIFS('02_MASTER'!$B:$B,"MT.ECM.ENT.TRN",'02_MASTER'!$E:$E,2024)=0,"",SUMIFS('02_MASTER'!$F:$F,'02_MASTER'!$B:$B,"MT.ECM.ENT.TRN",'02_MASTER'!$E:$E,2024))</f>
        <v/>
      </c>
    </row>
    <row r="20">
      <c r="A20" s="27" t="inlineStr">
        <is>
          <t>Poland</t>
        </is>
      </c>
      <c r="B20" s="38" t="inlineStr">
        <is>
          <t>PL</t>
        </is>
      </c>
      <c r="C20" s="32">
        <f>IF(COUNTIFS('02_MASTER'!$B:$B,"PL.ECM.IND.BUY",'02_MASTER'!$E:$E,2024)=0,"",SUMIFS('02_MASTER'!$F:$F,'02_MASTER'!$B:$B,"PL.ECM.IND.BUY",'02_MASTER'!$E:$E,2024))</f>
        <v/>
      </c>
      <c r="D20" s="32">
        <f>IF(COUNTIFS('02_MASTER'!$B:$B,"PL.ECM.ENT.TRN",'02_MASTER'!$E:$E,2024)=0,"",SUMIFS('02_MASTER'!$F:$F,'02_MASTER'!$B:$B,"PL.ECM.ENT.TRN",'02_MASTER'!$E:$E,2024))</f>
        <v/>
      </c>
    </row>
    <row r="21">
      <c r="A21" s="27" t="inlineStr">
        <is>
          <t>Sweden</t>
        </is>
      </c>
      <c r="B21" s="38" t="inlineStr">
        <is>
          <t>SE</t>
        </is>
      </c>
      <c r="C21" s="32">
        <f>IF(COUNTIFS('02_MASTER'!$B:$B,"SE.ECM.IND.BUY",'02_MASTER'!$E:$E,2024)=0,"",SUMIFS('02_MASTER'!$F:$F,'02_MASTER'!$B:$B,"SE.ECM.IND.BUY",'02_MASTER'!$E:$E,2024))</f>
        <v/>
      </c>
      <c r="D21" s="32">
        <f>IF(COUNTIFS('02_MASTER'!$B:$B,"SE.ECM.ENT.TRN",'02_MASTER'!$E:$E,2024)=0,"",SUMIFS('02_MASTER'!$F:$F,'02_MASTER'!$B:$B,"SE.ECM.ENT.TRN",'02_MASTER'!$E:$E,2024))</f>
        <v/>
      </c>
    </row>
    <row r="22">
      <c r="A22" s="27" t="inlineStr">
        <is>
          <t>Slovenia</t>
        </is>
      </c>
      <c r="B22" s="38" t="inlineStr">
        <is>
          <t>SI</t>
        </is>
      </c>
      <c r="C22" s="32">
        <f>IF(COUNTIFS('02_MASTER'!$B:$B,"SI.ECM.IND.BUY",'02_MASTER'!$E:$E,2024)=0,"",SUMIFS('02_MASTER'!$F:$F,'02_MASTER'!$B:$B,"SI.ECM.IND.BUY",'02_MASTER'!$E:$E,2024))</f>
        <v/>
      </c>
      <c r="D22" s="32">
        <f>IF(COUNTIFS('02_MASTER'!$B:$B,"SI.ECM.ENT.TRN",'02_MASTER'!$E:$E,2024)=0,"",SUMIFS('02_MASTER'!$F:$F,'02_MASTER'!$B:$B,"SI.ECM.ENT.TRN",'02_MASTER'!$E:$E,2024))</f>
        <v/>
      </c>
    </row>
    <row r="24">
      <c r="A24" s="3" t="inlineStr">
        <is>
          <t>FITTED LINE (ordinary least squares)</t>
        </is>
      </c>
    </row>
    <row r="25" ht="28" customHeight="1">
      <c r="A25" s="8" t="inlineStr">
        <is>
          <t>statistic</t>
        </is>
      </c>
      <c r="B25" s="8" t="inlineStr">
        <is>
          <t>value</t>
        </is>
      </c>
      <c r="C25" s="8" t="inlineStr">
        <is>
          <t>reading</t>
        </is>
      </c>
    </row>
    <row r="26" ht="26" customHeight="1">
      <c r="A26" s="27" t="inlineStr">
        <is>
          <t>n (countries)</t>
        </is>
      </c>
      <c r="B26" s="28">
        <f>COUNT($C$5:$C$22)</f>
        <v/>
      </c>
      <c r="C26" s="30" t="inlineStr">
        <is>
          <t>Number of complete X-Y pairs. Expands automatically as data is added.</t>
        </is>
      </c>
    </row>
    <row r="27" ht="26" customHeight="1">
      <c r="A27" s="27" t="inlineStr">
        <is>
          <t>Slope</t>
        </is>
      </c>
      <c r="B27" s="39">
        <f>SLOPE($D$5:$D$22,$C$5:$C$22)</f>
        <v/>
      </c>
      <c r="C27" s="30" t="inlineStr">
        <is>
          <t>Percentage points of enterprise turnover per percentage point of consumer adoption.</t>
        </is>
      </c>
    </row>
    <row r="28" ht="26" customHeight="1">
      <c r="A28" s="27" t="inlineStr">
        <is>
          <t>Intercept</t>
        </is>
      </c>
      <c r="B28" s="32">
        <f>INTERCEPT($D$5:$D$22,$C$5:$C$22)</f>
        <v/>
      </c>
      <c r="C28" s="30" t="inlineStr">
        <is>
          <t>Not interpretable - no country has zero adoption, so this is far outside the observed range.</t>
        </is>
      </c>
    </row>
    <row r="29" ht="26" customHeight="1">
      <c r="A29" s="27" t="inlineStr">
        <is>
          <t>Correlation (r)</t>
        </is>
      </c>
      <c r="B29" s="39">
        <f>CORREL($C$5:$C$22,$D$5:$D$22)</f>
        <v/>
      </c>
      <c r="C29" s="30" t="inlineStr">
        <is>
          <t>Strength and direction of the linear association.</t>
        </is>
      </c>
    </row>
    <row r="30" ht="26" customHeight="1">
      <c r="A30" s="27" t="inlineStr">
        <is>
          <t>R-squared</t>
        </is>
      </c>
      <c r="B30" s="39">
        <f>RSQ($D$5:$D$22,$C$5:$C$22)</f>
        <v/>
      </c>
      <c r="C30" s="30" t="inlineStr">
        <is>
          <t>Share of cross-country variation in Y that moves with X. Estimated on the complete set of paired member states, so it is quotable - see the SAMPLE block below for what the earlier tail-selected sample claimed.</t>
        </is>
      </c>
    </row>
    <row r="31" ht="26" customHeight="1">
      <c r="A31" s="27" t="inlineStr">
        <is>
          <t>Slope standard error</t>
        </is>
      </c>
      <c r="B31" s="39">
        <f>STEYX($D$5:$D$22,$C$5:$C$22)/SQRT(DEVSQ($C$5:$C$22))</f>
        <v/>
      </c>
      <c r="C31" s="30" t="inlineStr">
        <is>
          <t>Precision of the slope estimate.</t>
        </is>
      </c>
    </row>
    <row r="32" ht="26" customHeight="1">
      <c r="A32" s="27" t="inlineStr">
        <is>
          <t>Slope t-statistic</t>
        </is>
      </c>
      <c r="B32" s="32">
        <f>SLOPE($D$5:$D$22,$C$5:$C$22)/(STEYX($D$5:$D$22,$C$5:$C$22)/SQRT(DEVSQ($C$5:$C$22)))</f>
        <v/>
      </c>
      <c r="C32" s="30" t="inlineStr">
        <is>
          <t>Slope divided by its standard error, on n-2 degrees of freedom. Above about 2.1 the slope is distinguishable from zero at the 5% level on this sample size.</t>
        </is>
      </c>
    </row>
    <row r="33" ht="26" customHeight="1">
      <c r="A33" s="27" t="inlineStr">
        <is>
          <t>Denmark: actual Y</t>
        </is>
      </c>
      <c r="B33" s="32">
        <f>IF(COUNTIFS('02_MASTER'!$B:$B,"DK.ECM.ENT.TRN",'02_MASTER'!$E:$E,2024)=0,"",SUMIFS('02_MASTER'!$F:$F,'02_MASTER'!$B:$B,"DK.ECM.ENT.TRN",'02_MASTER'!$E:$E,2024))</f>
        <v/>
      </c>
      <c r="C33" s="30" t="inlineStr">
        <is>
          <t>Denmark's observed value.</t>
        </is>
      </c>
    </row>
    <row r="34" ht="26" customHeight="1">
      <c r="A34" s="27" t="inlineStr">
        <is>
          <t>Denmark: fitted Y</t>
        </is>
      </c>
      <c r="B34" s="32">
        <f>INTERCEPT($D$5:$D$22,$C$5:$C$22)+SLOPE($D$5:$D$22,$C$5:$C$22)*IF(COUNTIFS('02_MASTER'!$B:$B,"DK.ECM.IND.BUY",'02_MASTER'!$E:$E,2024)=0,"",SUMIFS('02_MASTER'!$F:$F,'02_MASTER'!$B:$B,"DK.ECM.IND.BUY",'02_MASTER'!$E:$E,2024))</f>
        <v/>
      </c>
      <c r="C34" s="30" t="inlineStr">
        <is>
          <t>What the line predicts for Denmark's adoption level.</t>
        </is>
      </c>
    </row>
    <row r="35" ht="26" customHeight="1">
      <c r="A35" s="27" t="inlineStr">
        <is>
          <t>Denmark: residual</t>
        </is>
      </c>
      <c r="B35" s="40">
        <f>IF(COUNTIFS('02_MASTER'!$B:$B,"DK.ECM.ENT.TRN",'02_MASTER'!$E:$E,2024)=0,"",SUMIFS('02_MASTER'!$F:$F,'02_MASTER'!$B:$B,"DK.ECM.ENT.TRN",'02_MASTER'!$E:$E,2024))-(INTERCEPT($D$5:$D$22,$C$5:$C$22)+SLOPE($D$5:$D$22,$C$5:$C$22)*IF(COUNTIFS('02_MASTER'!$B:$B,"DK.ECM.IND.BUY",'02_MASTER'!$E:$E,2024)=0,"",SUMIFS('02_MASTER'!$F:$F,'02_MASTER'!$B:$B,"DK.ECM.IND.BUY",'02_MASTER'!$E:$E,2024)))</f>
        <v/>
      </c>
      <c r="C35" s="30" t="inlineStr">
        <is>
          <t>Positive: Denmark converts adoption into commercial activity better than the EU pattern predicts. Negative: worse.</t>
        </is>
      </c>
    </row>
    <row r="37">
      <c r="A37" s="3" t="inlineStr">
        <is>
          <t>SAMPLE - how these points were obtained</t>
        </is>
      </c>
    </row>
    <row r="38" ht="46" customHeight="1">
      <c r="A38" s="41" t="inlineStr">
        <is>
          <t>COMPLETE FOR 2024: the X column is the full Eurostat isoc_ec_ib20 extract for all 27 member states, unrounded, taken from the databrowser. Every member state holding both measures is plotted - 18 of them. No country with both values is excluded, so the fit is no longer conditioned on where a country sits in the ranking.</t>
        </is>
      </c>
      <c r="B38" s="42" t="n"/>
      <c r="C38" s="42" t="n"/>
      <c r="D38" s="42" t="n"/>
    </row>
    <row r="39" ht="46" customHeight="1">
      <c r="A39" s="41" t="inlineStr">
        <is>
          <t>WHAT THE EARLIER SAMPLE CLAIMED: an earlier version of this figure drew X from a Eurostat press release, which named only the three highest countries, the three lowest and two large movers. On those 6 tail countries the fit was R-squared 0.853 with a slope of +0.655. On the complete cross-section it is R-squared 0.674 with a slope of +0.602.</t>
        </is>
      </c>
      <c r="B39" s="42" t="n"/>
      <c r="C39" s="42" t="n"/>
      <c r="D39" s="42" t="n"/>
    </row>
    <row r="40" ht="46" customHeight="1">
      <c r="A40" s="41" t="inlineStr">
        <is>
          <t>READING THAT COMPARISON: the slope moved by about 8% while R-squared fell by 0.18. This is the signature of selection on the tails - it widens the spread in X relative to the scatter around the line, which flatters the fit while leaving the estimated relationship roughly intact. The earlier R-squared was an upper bound, as the warning it replaced said; this one is an estimate.</t>
        </is>
      </c>
      <c r="B40" s="42" t="n"/>
      <c r="C40" s="42" t="n"/>
      <c r="D40" s="42" t="n"/>
    </row>
    <row r="41" ht="46" customHeight="1">
      <c r="A41" s="41" t="inlineStr">
        <is>
          <t>STILL NOT A COMPLETE CROSS-SECTION OF THE EU: nine member states hold the adoption measure but not the enterprise turnover measure and are listed below. The sample is complete with respect to X and incomplete with respect to Y, so it is 18 countries rather than 27 - but the countries dropped are dropped by data availability, not by their position on either axis.</t>
        </is>
      </c>
      <c r="B41" s="42" t="n"/>
      <c r="C41" s="42" t="n"/>
      <c r="D41" s="42" t="n"/>
    </row>
    <row r="42" ht="46" customHeight="1">
      <c r="A42" s="41" t="inlineStr">
        <is>
          <t>DIRECTION OF CAUSATION IS NOT ESTABLISHED AND CANNOT BE. X measures consumers; Y measures enterprises, including business-to-business sales that no consumer touches. Both plausibly rise with national income, which is in neither axis. This figure shows that digital commerce runs deep in the same economies where consumers buy online. It does not show that the one produces the other.</t>
        </is>
      </c>
      <c r="B42" s="42" t="n"/>
      <c r="C42" s="42" t="n"/>
      <c r="D42" s="42" t="n"/>
    </row>
    <row r="44">
      <c r="A44" s="3" t="inlineStr">
        <is>
          <t>AWAITING DATA - not plotted</t>
        </is>
      </c>
    </row>
    <row r="45" ht="28" customHeight="1">
      <c r="A45" s="8" t="inlineStr">
        <is>
          <t>country</t>
        </is>
      </c>
      <c r="B45" s="8" t="inlineStr">
        <is>
          <t>code</t>
        </is>
      </c>
      <c r="C45" s="8" t="inlineStr">
        <is>
          <t>missing</t>
        </is>
      </c>
    </row>
    <row r="46">
      <c r="A46" s="27" t="inlineStr">
        <is>
          <t>Estonia</t>
        </is>
      </c>
      <c r="B46" s="38" t="inlineStr">
        <is>
          <t>EE</t>
        </is>
      </c>
      <c r="C46" s="43" t="inlineStr">
        <is>
          <t>Y - add EE.ECM.ENT.TRN for 2024 (Eurostat tin00110)</t>
        </is>
      </c>
    </row>
    <row r="47">
      <c r="A47" s="27" t="inlineStr">
        <is>
          <t>Greece</t>
        </is>
      </c>
      <c r="B47" s="38" t="inlineStr">
        <is>
          <t>EL</t>
        </is>
      </c>
      <c r="C47" s="43" t="inlineStr">
        <is>
          <t>Y - add EL.ECM.ENT.TRN for 2024 (Eurostat tin00110)</t>
        </is>
      </c>
    </row>
    <row r="48">
      <c r="A48" s="27" t="inlineStr">
        <is>
          <t>Finland</t>
        </is>
      </c>
      <c r="B48" s="38" t="inlineStr">
        <is>
          <t>FI</t>
        </is>
      </c>
      <c r="C48" s="43" t="inlineStr">
        <is>
          <t>Y - add FI.ECM.ENT.TRN for 2024 (Eurostat tin00110)</t>
        </is>
      </c>
    </row>
    <row r="49">
      <c r="A49" s="27" t="inlineStr">
        <is>
          <t>Lithuania</t>
        </is>
      </c>
      <c r="B49" s="38" t="inlineStr">
        <is>
          <t>LT</t>
        </is>
      </c>
      <c r="C49" s="43" t="inlineStr">
        <is>
          <t>Y - add LT.ECM.ENT.TRN for 2024 (Eurostat tin00110)</t>
        </is>
      </c>
    </row>
    <row r="50">
      <c r="A50" s="27" t="inlineStr">
        <is>
          <t>Latvia</t>
        </is>
      </c>
      <c r="B50" s="38" t="inlineStr">
        <is>
          <t>LV</t>
        </is>
      </c>
      <c r="C50" s="43" t="inlineStr">
        <is>
          <t>Y - add LV.ECM.ENT.TRN for 2024 (Eurostat tin00110)</t>
        </is>
      </c>
    </row>
    <row r="51">
      <c r="A51" s="27" t="inlineStr">
        <is>
          <t>Netherlands</t>
        </is>
      </c>
      <c r="B51" s="38" t="inlineStr">
        <is>
          <t>NL</t>
        </is>
      </c>
      <c r="C51" s="43" t="inlineStr">
        <is>
          <t>Y - add NL.ECM.ENT.TRN for 2024 (Eurostat tin00110)</t>
        </is>
      </c>
    </row>
    <row r="52">
      <c r="A52" s="27" t="inlineStr">
        <is>
          <t>Portugal</t>
        </is>
      </c>
      <c r="B52" s="38" t="inlineStr">
        <is>
          <t>PT</t>
        </is>
      </c>
      <c r="C52" s="43" t="inlineStr">
        <is>
          <t>Y - add PT.ECM.ENT.TRN for 2024 (Eurostat tin00110)</t>
        </is>
      </c>
    </row>
    <row r="53">
      <c r="A53" s="27" t="inlineStr">
        <is>
          <t>Romania</t>
        </is>
      </c>
      <c r="B53" s="38" t="inlineStr">
        <is>
          <t>RO</t>
        </is>
      </c>
      <c r="C53" s="43" t="inlineStr">
        <is>
          <t>Y - add RO.ECM.ENT.TRN for 2024 (Eurostat tin00110)</t>
        </is>
      </c>
    </row>
    <row r="54">
      <c r="A54" s="27" t="inlineStr">
        <is>
          <t>Slovakia</t>
        </is>
      </c>
      <c r="B54" s="38" t="inlineStr">
        <is>
          <t>SK</t>
        </is>
      </c>
      <c r="C54" s="43" t="inlineStr">
        <is>
          <t>Y - add SK.ECM.ENT.TRN for 2024 (Eurostat tin00110)</t>
        </is>
      </c>
    </row>
    <row r="56">
      <c r="A56" s="34" t="inlineStr">
        <is>
          <t>Sources: Eurostat isoc_ec_ib20 (ES7) for X; Eurostat tin00110 (ES5, ES6) for Y. WHY A CROSS-SECTION: the Danish adoption and outcome series share almost no observation years - the best time-series pairing in this dataset is n=2 - so a within-Denmark scatter of adoption against outcome cannot be drawn from verified data. SAMPLE: n=18 of 27 member states. This is a small sample; report the association descriptively and do not quote a p-value. Adding the missing values listed above raises n automatically on the next rebuild. WHAT Y MEASURES: tin00110 covers all enterprises with 10+ employees outside the financial sector, so it includes B2B and EDI ordering across every industry, not retail alone. X is a consumer measure. The two sit on different sides of the market, so a positive association is evidence that digital commerce is deep in an economy - not evidence that consumers buying online causes enterprise turnover.</t>
        </is>
      </c>
    </row>
  </sheetData>
  <mergeCells count="5">
    <mergeCell ref="A40:D40"/>
    <mergeCell ref="A38:D38"/>
    <mergeCell ref="A39:D39"/>
    <mergeCell ref="A41:D41"/>
    <mergeCell ref="A42:D42"/>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46" customWidth="1" min="1" max="1"/>
    <col width="14" customWidth="1" min="2" max="2"/>
    <col width="74" customWidth="1" min="3" max="3"/>
    <col width="30" customWidth="1" min="4" max="4"/>
  </cols>
  <sheetData>
    <row r="1" ht="22" customHeight="1">
      <c r="A1" s="7" t="inlineStr">
        <is>
          <t>Figure 7 - Denmark vs the EU: adoption and capability, then quality</t>
        </is>
      </c>
    </row>
    <row r="2">
      <c r="A2" s="26" t="inlineStr">
        <is>
          <t>Leads on every capability measure. Below average on citizen service quality.</t>
        </is>
      </c>
    </row>
    <row r="3">
      <c r="F3" s="33" t="inlineStr">
        <is>
          <t>Denmark vs EU-27 average</t>
        </is>
      </c>
    </row>
    <row r="4" ht="28" customHeight="1">
      <c r="A4" s="8" t="inlineStr">
        <is>
          <t>indicator</t>
        </is>
      </c>
      <c r="B4" s="8" t="inlineStr">
        <is>
          <t>Denmark</t>
        </is>
      </c>
      <c r="C4" s="8" t="inlineStr">
        <is>
          <t>EU-27</t>
        </is>
      </c>
      <c r="D4" s="8" t="inlineStr">
        <is>
          <t>unit</t>
        </is>
      </c>
      <c r="F4" s="26" t="inlineStr">
        <is>
          <t>Denmark in blue, EU average in grey. Note the direction reverses on the bottom two rows.</t>
        </is>
      </c>
    </row>
    <row r="5">
      <c r="A5" s="27" t="inlineStr">
        <is>
          <t>SMEs with at least basic digital intensity</t>
        </is>
      </c>
      <c r="B5" s="32">
        <f>IF(COUNTIFS('02_MASTER'!$B:$B,"DK.ENT.DII",'02_MASTER'!$E:$E,2025)=0,"",SUMIFS('02_MASTER'!$F:$F,'02_MASTER'!$B:$B,"DK.ENT.DII",'02_MASTER'!$E:$E,2025))</f>
        <v/>
      </c>
      <c r="C5" s="32">
        <f>IF(COUNTIFS('02_MASTER'!$B:$B,"EU.ENT.DII",'02_MASTER'!$E:$E,2025)=0,"",SUMIFS('02_MASTER'!$F:$F,'02_MASTER'!$B:$B,"EU.ENT.DII",'02_MASTER'!$E:$E,2025))</f>
        <v/>
      </c>
      <c r="D5" s="29" t="inlineStr">
        <is>
          <t>% of SMEs</t>
        </is>
      </c>
    </row>
    <row r="6">
      <c r="A6" s="27" t="inlineStr">
        <is>
          <t>Enterprises adopting AI</t>
        </is>
      </c>
      <c r="B6" s="32">
        <f>IF(COUNTIFS('02_MASTER'!$B:$B,"DK.ENT.AI",'02_MASTER'!$E:$E,2025)=0,"",SUMIFS('02_MASTER'!$F:$F,'02_MASTER'!$B:$B,"DK.ENT.AI",'02_MASTER'!$E:$E,2025))</f>
        <v/>
      </c>
      <c r="C6" s="42" t="n"/>
      <c r="D6" s="29" t="inlineStr">
        <is>
          <t>% of enterprises (EU avg 19.95)</t>
        </is>
      </c>
    </row>
    <row r="7">
      <c r="A7" s="27" t="inlineStr">
        <is>
          <t>Digital public services for citizens</t>
        </is>
      </c>
      <c r="B7" s="32">
        <f>IF(COUNTIFS('02_MASTER'!$B:$B,"DK.GOV.DPS.CIT",'02_MASTER'!$E:$E,2025)=0,"",SUMIFS('02_MASTER'!$F:$F,'02_MASTER'!$B:$B,"DK.GOV.DPS.CIT",'02_MASTER'!$E:$E,2025))</f>
        <v/>
      </c>
      <c r="C7" s="32">
        <f>IF(COUNTIFS('02_MASTER'!$B:$B,"EU.GOV.DPS.CIT",'02_MASTER'!$E:$E,2025)=0,"",SUMIFS('02_MASTER'!$F:$F,'02_MASTER'!$B:$B,"EU.GOV.DPS.CIT",'02_MASTER'!$E:$E,2025))</f>
        <v/>
      </c>
      <c r="D7" s="29" t="inlineStr">
        <is>
          <t>eGovernment Benchmark score 0-100</t>
        </is>
      </c>
    </row>
    <row r="8">
      <c r="A8" s="27" t="inlineStr">
        <is>
          <t>Cross-border digital public services</t>
        </is>
      </c>
      <c r="B8" s="32">
        <f>IF(COUNTIFS('02_MASTER'!$B:$B,"DK.GOV.DPS.XB",'02_MASTER'!$E:$E,2025)=0,"",SUMIFS('02_MASTER'!$F:$F,'02_MASTER'!$B:$B,"DK.GOV.DPS.XB",'02_MASTER'!$E:$E,2025))</f>
        <v/>
      </c>
      <c r="C8" s="42" t="n"/>
      <c r="D8" s="29" t="inlineStr">
        <is>
          <t>score 0-100 (EU avg 75.28)</t>
        </is>
      </c>
    </row>
    <row r="10">
      <c r="A10" s="3" t="inlineStr">
        <is>
          <t>THE GAP THAT MATTERS - service quality, not capability</t>
        </is>
      </c>
    </row>
    <row r="11" ht="28" customHeight="1">
      <c r="A11" s="8" t="inlineStr">
        <is>
          <t>quantity</t>
        </is>
      </c>
      <c r="B11" s="8" t="inlineStr">
        <is>
          <t>value</t>
        </is>
      </c>
      <c r="C11" s="8" t="inlineStr">
        <is>
          <t>reading</t>
        </is>
      </c>
    </row>
    <row r="12" ht="44" customHeight="1">
      <c r="A12" s="27" t="inlineStr">
        <is>
          <t>Digital public services, DK minus EU average</t>
        </is>
      </c>
      <c r="B12" s="32">
        <f>IF(COUNTIFS('02_MASTER'!$B:$B,"DK.GOV.DPS.CIT",'02_MASTER'!$E:$E,2025)=0,"",SUMIFS('02_MASTER'!$F:$F,'02_MASTER'!$B:$B,"DK.GOV.DPS.CIT",'02_MASTER'!$E:$E,2025))-IF(COUNTIFS('02_MASTER'!$B:$B,"EU.GOV.DPS.CIT",'02_MASTER'!$E:$E,2025)=0,"",SUMIFS('02_MASTER'!$F:$F,'02_MASTER'!$B:$B,"EU.GOV.DPS.CIT",'02_MASTER'!$E:$E,2025))</f>
        <v/>
      </c>
      <c r="C12" s="30" t="inlineStr">
        <is>
          <t>Negative. The most digitalised population in the EU receives below-average digital public services.</t>
        </is>
      </c>
    </row>
    <row r="13" ht="44" customHeight="1">
      <c r="A13" s="27" t="inlineStr">
        <is>
          <t>Digital skills gap within Denmark, 16-24 minus 55-74</t>
        </is>
      </c>
      <c r="B13" s="32">
        <f>IF(COUNTIFS('02_MASTER'!$B:$B,"DK.SKL.1624",'02_MASTER'!$E:$E,2025)=0,"",SUMIFS('02_MASTER'!$F:$F,'02_MASTER'!$B:$B,"DK.SKL.1624",'02_MASTER'!$E:$E,2025))-IF(COUNTIFS('02_MASTER'!$B:$B,"DK.SKL.5574",'02_MASTER'!$E:$E,2025)=0,"",SUMIFS('02_MASTER'!$F:$F,'02_MASTER'!$B:$B,"DK.SKL.5574",'02_MASTER'!$E:$E,2025))</f>
        <v/>
      </c>
      <c r="C13" s="30" t="inlineStr">
        <is>
          <t>The within-country spread. Note that Denmark's WEAKEST age group (67.81%) still beats the EU average (42.60%) by 25pp, so Danish exclusion is not a skills deficit relative to Europe - it is a mandate calibrated above the bottom of its own distribution.</t>
        </is>
      </c>
    </row>
    <row r="14" ht="44" customHeight="1">
      <c r="A14" s="27" t="inlineStr">
        <is>
          <t>AI adoption gap within Denmark, large firms minus SMEs</t>
        </is>
      </c>
      <c r="B14" s="32">
        <f>IF(COUNTIFS('02_MASTER'!$B:$B,"DK.ENT.AI.LRG",'02_MASTER'!$E:$E,2025)=0,"",SUMIFS('02_MASTER'!$F:$F,'02_MASTER'!$B:$B,"DK.ENT.AI.LRG",'02_MASTER'!$E:$E,2025))-IF(COUNTIFS('02_MASTER'!$B:$B,"DK.ENT.AI.SME",'02_MASTER'!$E:$E,2025)=0,"",SUMIFS('02_MASTER'!$F:$F,'02_MASTER'!$B:$B,"DK.ENT.AI.SME",'02_MASTER'!$E:$E,2025))</f>
        <v/>
      </c>
      <c r="C14" s="30" t="inlineStr">
        <is>
          <t>Breadth without depth, restated for AI.</t>
        </is>
      </c>
    </row>
    <row r="16">
      <c r="A16" s="34" t="inlineStr">
        <is>
          <t>Source: European Commission, Digital Decade 2026 country report for Denmark (EC1). CAUTION: the eGovernment Benchmark is a scored assessment, not a survey proportion, and a 2.4-point difference between two scores should not be read as a precisely measured gap. The direction is the finding; the magnitude is not.</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14" customWidth="1" min="1" max="1"/>
    <col width="11" customWidth="1" min="2" max="2"/>
    <col width="46" customWidth="1" min="3" max="3"/>
    <col width="34" customWidth="1" min="4" max="4"/>
    <col width="10" customWidth="1" min="5" max="5"/>
  </cols>
  <sheetData>
    <row r="1" ht="22" customHeight="1">
      <c r="A1" s="7" t="inlineStr">
        <is>
          <t>Figure 8 - SMV:Digital, the one policy with a control group</t>
        </is>
      </c>
    </row>
    <row r="2">
      <c r="A2" s="26" t="inlineStr">
        <is>
          <t>Danmarks Statistik matched-comparison evaluation, June 2025.</t>
        </is>
      </c>
    </row>
    <row r="3">
      <c r="E3" s="33" t="inlineStr">
        <is>
          <t>SMV:Digital participant outcomes</t>
        </is>
      </c>
    </row>
    <row r="4" ht="28" customHeight="1">
      <c r="A4" s="8" t="inlineStr">
        <is>
          <t>measure</t>
        </is>
      </c>
      <c r="B4" s="8" t="inlineStr">
        <is>
          <t>value</t>
        </is>
      </c>
      <c r="C4" s="8" t="inlineStr">
        <is>
          <t>unit</t>
        </is>
      </c>
      <c r="E4" s="26" t="inlineStr">
        <is>
          <t>Participation measures only. No effect size is plotted because none was verified.</t>
        </is>
      </c>
    </row>
    <row r="5">
      <c r="A5" s="27" t="inlineStr">
        <is>
          <t>Digitalisation projects supported since 2018</t>
        </is>
      </c>
      <c r="B5" s="28">
        <f>IF(COUNTIFS('02_MASTER'!$B:$B,"DK.SME.SMVD.PROJ",'02_MASTER'!$E:$E,2025)=0,"",SUMIFS('02_MASTER'!$F:$F,'02_MASTER'!$B:$B,"DK.SME.SMVD.PROJ",'02_MASTER'!$E:$E,2025))</f>
        <v/>
      </c>
      <c r="C5" s="29" t="inlineStr">
        <is>
          <t>count</t>
        </is>
      </c>
    </row>
    <row r="6">
      <c r="A6" s="27" t="inlineStr">
        <is>
          <t>Participants investing further during the project</t>
        </is>
      </c>
      <c r="B6" s="35">
        <f>IF(COUNTIFS('02_MASTER'!$B:$B,"DK.SME.SMVD.INV",'02_MASTER'!$E:$E,2025)=0,"",SUMIFS('02_MASTER'!$F:$F,'02_MASTER'!$B:$B,"DK.SME.SMVD.INV",'02_MASTER'!$E:$E,2025))</f>
        <v/>
      </c>
      <c r="C6" s="29" t="inlineStr">
        <is>
          <t>% of participants</t>
        </is>
      </c>
    </row>
    <row r="7">
      <c r="A7" s="27" t="inlineStr">
        <is>
          <t>Participants with no further investment plans</t>
        </is>
      </c>
      <c r="B7" s="35">
        <f>IF(COUNTIFS('02_MASTER'!$B:$B,"DK.SME.SMVD.NOINV",'02_MASTER'!$E:$E,2025)=0,"",SUMIFS('02_MASTER'!$F:$F,'02_MASTER'!$B:$B,"DK.SME.SMVD.NOINV",'02_MASTER'!$E:$E,2025))</f>
        <v/>
      </c>
      <c r="C7" s="29" t="inlineStr">
        <is>
          <t>% of participants</t>
        </is>
      </c>
    </row>
    <row r="9">
      <c r="A9" s="3" t="inlineStr">
        <is>
          <t>WHY THIS IS THE STRONGEST EVIDENCE IN THE WORKBOOK</t>
        </is>
      </c>
    </row>
    <row r="10" ht="34" customHeight="1">
      <c r="A10" s="34" t="inlineStr">
        <is>
          <t>The evaluation was carried out by Danmarks Statistik, which compared participating firms against comparable firms that did not participate. Participants showed higher revenue AND higher employment.</t>
        </is>
      </c>
    </row>
    <row r="11" ht="34" customHeight="1">
      <c r="A11" s="34" t="inlineStr">
        <is>
          <t>That is a comparison group. Nothing else in this workbook has one. Figure 6's cross-section can show that adoption and commercial activity move together across countries; it cannot rule out that richer countries simply do more of both. A matched comparison can.</t>
        </is>
      </c>
    </row>
    <row r="12" ht="34" customHeight="1">
      <c r="A12" s="34" t="inlineStr">
        <is>
          <t>LIMIT: the effect sizes are not reproduced here because they were not verified against the evaluation itself. The direction of the finding is sourced; the magnitude is not, and must not be invented.</t>
        </is>
      </c>
    </row>
    <row r="13" ht="34" customHeight="1">
      <c r="A13" s="34" t="inlineStr">
        <is>
          <t>LIMIT: participation is voluntary, so selection into the programme by more capable or more ambitious firms is not excluded by matching alone.</t>
        </is>
      </c>
    </row>
    <row r="15">
      <c r="A15" s="3" t="inlineStr">
        <is>
          <t>POLICY EVENTS ON THIS SERIES</t>
        </is>
      </c>
    </row>
    <row r="16" ht="28" customHeight="1">
      <c r="A16" s="8" t="inlineStr">
        <is>
          <t>date</t>
        </is>
      </c>
      <c r="B16" s="8" t="inlineStr">
        <is>
          <t>precision</t>
        </is>
      </c>
      <c r="C16" s="8" t="inlineStr">
        <is>
          <t>instrument</t>
        </is>
      </c>
      <c r="D16" s="8" t="inlineStr">
        <is>
          <t>citation</t>
        </is>
      </c>
      <c r="E16" s="8" t="inlineStr">
        <is>
          <t>source</t>
        </is>
      </c>
    </row>
    <row r="17">
      <c r="A17" s="23" t="inlineStr">
        <is>
          <t>2018-01-01</t>
        </is>
      </c>
      <c r="B17" s="15" t="inlineStr">
        <is>
          <t>year</t>
        </is>
      </c>
      <c r="C17" s="15" t="inlineStr">
        <is>
          <t>SMV:Digital launched</t>
        </is>
      </c>
      <c r="D17" s="15" t="inlineStr">
        <is>
          <t>Danish digital growth plan for SMEs</t>
        </is>
      </c>
      <c r="E17" s="23" t="inlineStr">
        <is>
          <t>DG3</t>
        </is>
      </c>
    </row>
    <row r="18">
      <c r="A18" s="23" t="inlineStr">
        <is>
          <t>2026-01-01</t>
        </is>
      </c>
      <c r="B18" s="15" t="inlineStr">
        <is>
          <t>year</t>
        </is>
      </c>
      <c r="C18" s="15" t="inlineStr">
        <is>
          <t>SMV:Digital grant pools continue</t>
        </is>
      </c>
      <c r="D18" s="15" t="inlineStr">
        <is>
          <t>Tilskudspuljer i 2026</t>
        </is>
      </c>
      <c r="E18" s="23" t="inlineStr">
        <is>
          <t>SMV1</t>
        </is>
      </c>
    </row>
    <row r="20">
      <c r="A20" s="34" t="inlineStr">
        <is>
          <t>Source: Effektmaaling af SMV:Digital, Danmarks Statistik for the Agency for Digital Government, June 2025 (DG3); scheme status from SMV:Digital's 2026 grant-pool page (SMV1).</t>
        </is>
      </c>
    </row>
  </sheetData>
  <mergeCells count="4">
    <mergeCell ref="A10:C10"/>
    <mergeCell ref="A13:C13"/>
    <mergeCell ref="A11:C11"/>
    <mergeCell ref="A12:C12"/>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30" customWidth="1" min="1" max="1"/>
    <col width="14" customWidth="1" min="2" max="2"/>
    <col width="14" customWidth="1" min="3" max="3"/>
    <col width="60" customWidth="1" min="4" max="4"/>
    <col width="14" customWidth="1" min="5" max="5"/>
  </cols>
  <sheetData>
    <row r="1" ht="22" customHeight="1">
      <c r="A1" s="7" t="inlineStr">
        <is>
          <t>Figure 9 - Consolidation of Danish retail banking</t>
        </is>
      </c>
    </row>
    <row r="2">
      <c r="A2" s="26" t="inlineStr">
        <is>
          <t>Three measures of the same structural shift. Note the different start years: the periods are NOT comparable to one another.</t>
        </is>
      </c>
    </row>
    <row r="3">
      <c r="J3" s="33" t="inlineStr">
        <is>
          <t>Banking consolidation, by measure</t>
        </is>
      </c>
    </row>
    <row r="4" ht="28" customHeight="1">
      <c r="A4" s="8" t="inlineStr">
        <is>
          <t>measure</t>
        </is>
      </c>
      <c r="B4" s="8" t="inlineStr">
        <is>
          <t>period</t>
        </is>
      </c>
      <c r="C4" s="8" t="inlineStr">
        <is>
          <t>first</t>
        </is>
      </c>
      <c r="D4" s="8" t="inlineStr">
        <is>
          <t>last</t>
        </is>
      </c>
      <c r="E4" s="8" t="inlineStr">
        <is>
          <t>change</t>
        </is>
      </c>
      <c r="G4" s="26" t="inlineStr">
        <is>
          <t>chart label (helper)</t>
        </is>
      </c>
      <c r="H4" s="26" t="inlineStr">
        <is>
          <t>change</t>
        </is>
      </c>
      <c r="J4" s="26" t="inlineStr">
        <is>
          <t>Employment in blue - it fell least. Periods differ by measure; read each bar against its own label.</t>
        </is>
      </c>
    </row>
    <row r="5">
      <c r="A5" s="27" t="inlineStr">
        <is>
          <t>Financial institutions</t>
        </is>
      </c>
      <c r="B5" s="38" t="inlineStr">
        <is>
          <t>1991-2024</t>
        </is>
      </c>
      <c r="C5" s="28">
        <f>IF(COUNTIFS('02_MASTER'!$B:$B,"DK.FIN.INST",'02_MASTER'!$E:$E,1991)=0,"",SUMIFS('02_MASTER'!$F:$F,'02_MASTER'!$B:$B,"DK.FIN.INST",'02_MASTER'!$E:$E,1991))</f>
        <v/>
      </c>
      <c r="D5" s="28">
        <f>IF(COUNTIFS('02_MASTER'!$B:$B,"DK.FIN.INST",'02_MASTER'!$E:$E,2024)=0,"",SUMIFS('02_MASTER'!$F:$F,'02_MASTER'!$B:$B,"DK.FIN.INST",'02_MASTER'!$E:$E,2024))</f>
        <v/>
      </c>
      <c r="E5" s="31">
        <f>(IF(COUNTIFS('02_MASTER'!$B:$B,"DK.FIN.INST",'02_MASTER'!$E:$E,2024)=0,"",SUMIFS('02_MASTER'!$F:$F,'02_MASTER'!$B:$B,"DK.FIN.INST",'02_MASTER'!$E:$E,2024))/IF(COUNTIFS('02_MASTER'!$B:$B,"DK.FIN.INST",'02_MASTER'!$E:$E,1991)=0,"",SUMIFS('02_MASTER'!$F:$F,'02_MASTER'!$B:$B,"DK.FIN.INST",'02_MASTER'!$E:$E,1991)))-1</f>
        <v/>
      </c>
      <c r="G5" s="6" t="inlineStr">
        <is>
          <t>Financial institutions (1991-2024)</t>
        </is>
      </c>
      <c r="H5" s="44">
        <f>(IF(COUNTIFS('02_MASTER'!$B:$B,"DK.FIN.INST",'02_MASTER'!$E:$E,2024)=0,"",SUMIFS('02_MASTER'!$F:$F,'02_MASTER'!$B:$B,"DK.FIN.INST",'02_MASTER'!$E:$E,2024))/IF(COUNTIFS('02_MASTER'!$B:$B,"DK.FIN.INST",'02_MASTER'!$E:$E,1991)=0,"",SUMIFS('02_MASTER'!$F:$F,'02_MASTER'!$B:$B,"DK.FIN.INST",'02_MASTER'!$E:$E,1991)))-1</f>
        <v/>
      </c>
    </row>
    <row r="6">
      <c r="A6" s="27" t="inlineStr">
        <is>
          <t>Bank branches</t>
        </is>
      </c>
      <c r="B6" s="38" t="inlineStr">
        <is>
          <t>2004-2024</t>
        </is>
      </c>
      <c r="C6" s="28">
        <f>IF(COUNTIFS('02_MASTER'!$B:$B,"DK.FIN.BRCH",'02_MASTER'!$E:$E,2004)=0,"",SUMIFS('02_MASTER'!$F:$F,'02_MASTER'!$B:$B,"DK.FIN.BRCH",'02_MASTER'!$E:$E,2004))</f>
        <v/>
      </c>
      <c r="D6" s="28">
        <f>IF(COUNTIFS('02_MASTER'!$B:$B,"DK.FIN.BRCH",'02_MASTER'!$E:$E,2024)=0,"",SUMIFS('02_MASTER'!$F:$F,'02_MASTER'!$B:$B,"DK.FIN.BRCH",'02_MASTER'!$E:$E,2024))</f>
        <v/>
      </c>
      <c r="E6" s="31">
        <f>(IF(COUNTIFS('02_MASTER'!$B:$B,"DK.FIN.BRCH",'02_MASTER'!$E:$E,2024)=0,"",SUMIFS('02_MASTER'!$F:$F,'02_MASTER'!$B:$B,"DK.FIN.BRCH",'02_MASTER'!$E:$E,2024))/IF(COUNTIFS('02_MASTER'!$B:$B,"DK.FIN.BRCH",'02_MASTER'!$E:$E,2004)=0,"",SUMIFS('02_MASTER'!$F:$F,'02_MASTER'!$B:$B,"DK.FIN.BRCH",'02_MASTER'!$E:$E,2004)))-1</f>
        <v/>
      </c>
      <c r="G6" s="6" t="inlineStr">
        <is>
          <t>Bank branches (2004-2024)</t>
        </is>
      </c>
      <c r="H6" s="44">
        <f>(IF(COUNTIFS('02_MASTER'!$B:$B,"DK.FIN.BRCH",'02_MASTER'!$E:$E,2024)=0,"",SUMIFS('02_MASTER'!$F:$F,'02_MASTER'!$B:$B,"DK.FIN.BRCH",'02_MASTER'!$E:$E,2024))/IF(COUNTIFS('02_MASTER'!$B:$B,"DK.FIN.BRCH",'02_MASTER'!$E:$E,2004)=0,"",SUMIFS('02_MASTER'!$F:$F,'02_MASTER'!$B:$B,"DK.FIN.BRCH",'02_MASTER'!$E:$E,2004)))-1</f>
        <v/>
      </c>
    </row>
    <row r="7">
      <c r="A7" s="27" t="inlineStr">
        <is>
          <t>Bank employees</t>
        </is>
      </c>
      <c r="B7" s="38" t="inlineStr">
        <is>
          <t>1991-2024</t>
        </is>
      </c>
      <c r="C7" s="28">
        <f>IF(COUNTIFS('02_MASTER'!$B:$B,"DK.FIN.EMP",'02_MASTER'!$E:$E,1991)=0,"",SUMIFS('02_MASTER'!$F:$F,'02_MASTER'!$B:$B,"DK.FIN.EMP",'02_MASTER'!$E:$E,1991))</f>
        <v/>
      </c>
      <c r="D7" s="28">
        <f>IF(COUNTIFS('02_MASTER'!$B:$B,"DK.FIN.EMP",'02_MASTER'!$E:$E,2024)=0,"",SUMIFS('02_MASTER'!$F:$F,'02_MASTER'!$B:$B,"DK.FIN.EMP",'02_MASTER'!$E:$E,2024))</f>
        <v/>
      </c>
      <c r="E7" s="31">
        <f>(IF(COUNTIFS('02_MASTER'!$B:$B,"DK.FIN.EMP",'02_MASTER'!$E:$E,2024)=0,"",SUMIFS('02_MASTER'!$F:$F,'02_MASTER'!$B:$B,"DK.FIN.EMP",'02_MASTER'!$E:$E,2024))/IF(COUNTIFS('02_MASTER'!$B:$B,"DK.FIN.EMP",'02_MASTER'!$E:$E,1991)=0,"",SUMIFS('02_MASTER'!$F:$F,'02_MASTER'!$B:$B,"DK.FIN.EMP",'02_MASTER'!$E:$E,1991)))-1</f>
        <v/>
      </c>
      <c r="G7" s="6" t="inlineStr">
        <is>
          <t>Bank employees (1991-2024)</t>
        </is>
      </c>
      <c r="H7" s="44">
        <f>(IF(COUNTIFS('02_MASTER'!$B:$B,"DK.FIN.EMP",'02_MASTER'!$E:$E,2024)=0,"",SUMIFS('02_MASTER'!$F:$F,'02_MASTER'!$B:$B,"DK.FIN.EMP",'02_MASTER'!$E:$E,2024))/IF(COUNTIFS('02_MASTER'!$B:$B,"DK.FIN.EMP",'02_MASTER'!$E:$E,1991)=0,"",SUMIFS('02_MASTER'!$F:$F,'02_MASTER'!$B:$B,"DK.FIN.EMP",'02_MASTER'!$E:$E,1991)))-1</f>
        <v/>
      </c>
    </row>
    <row r="9">
      <c r="A9" s="3" t="inlineStr">
        <is>
          <t>THE ASYMMETRY - staff per institution</t>
        </is>
      </c>
    </row>
    <row r="10" ht="28" customHeight="1">
      <c r="A10" s="8" t="inlineStr">
        <is>
          <t>statistic</t>
        </is>
      </c>
      <c r="B10" s="8" t="inlineStr">
        <is>
          <t>1991</t>
        </is>
      </c>
      <c r="C10" s="8" t="inlineStr">
        <is>
          <t>2024</t>
        </is>
      </c>
      <c r="D10" s="8" t="inlineStr">
        <is>
          <t>reading</t>
        </is>
      </c>
    </row>
    <row r="11" ht="30" customHeight="1">
      <c r="A11" s="27" t="inlineStr">
        <is>
          <t>Employees per institution</t>
        </is>
      </c>
      <c r="B11" s="28">
        <f>IF(COUNTIFS('02_MASTER'!$B:$B,"DK.FIN.EMP",'02_MASTER'!$E:$E,1991)=0,"",SUMIFS('02_MASTER'!$F:$F,'02_MASTER'!$B:$B,"DK.FIN.EMP",'02_MASTER'!$E:$E,1991))/IF(COUNTIFS('02_MASTER'!$B:$B,"DK.FIN.INST",'02_MASTER'!$E:$E,1991)=0,"",SUMIFS('02_MASTER'!$F:$F,'02_MASTER'!$B:$B,"DK.FIN.INST",'02_MASTER'!$E:$E,1991))</f>
        <v/>
      </c>
      <c r="C11" s="28">
        <f>IF(COUNTIFS('02_MASTER'!$B:$B,"DK.FIN.EMP",'02_MASTER'!$E:$E,2024)=0,"",SUMIFS('02_MASTER'!$F:$F,'02_MASTER'!$B:$B,"DK.FIN.EMP",'02_MASTER'!$E:$E,2024))/IF(COUNTIFS('02_MASTER'!$B:$B,"DK.FIN.INST",'02_MASTER'!$E:$E,2024)=0,"",SUMIFS('02_MASTER'!$F:$F,'02_MASTER'!$B:$B,"DK.FIN.INST",'02_MASTER'!$E:$E,2024))</f>
        <v/>
      </c>
      <c r="D11" s="30" t="inlineStr">
        <is>
          <t>Denmark did not shed banking labour in proportion to its institutions. It concentrated it.</t>
        </is>
      </c>
    </row>
    <row r="12">
      <c r="A12" s="27" t="inlineStr">
        <is>
          <t>Change in staff per institution</t>
        </is>
      </c>
      <c r="B12" s="31">
        <f>((IF(COUNTIFS('02_MASTER'!$B:$B,"DK.FIN.EMP",'02_MASTER'!$E:$E,2024)=0,"",SUMIFS('02_MASTER'!$F:$F,'02_MASTER'!$B:$B,"DK.FIN.EMP",'02_MASTER'!$E:$E,2024))/IF(COUNTIFS('02_MASTER'!$B:$B,"DK.FIN.INST",'02_MASTER'!$E:$E,2024)=0,"",SUMIFS('02_MASTER'!$F:$F,'02_MASTER'!$B:$B,"DK.FIN.INST",'02_MASTER'!$E:$E,2024)))/(IF(COUNTIFS('02_MASTER'!$B:$B,"DK.FIN.EMP",'02_MASTER'!$E:$E,1991)=0,"",SUMIFS('02_MASTER'!$F:$F,'02_MASTER'!$B:$B,"DK.FIN.EMP",'02_MASTER'!$E:$E,1991))/IF(COUNTIFS('02_MASTER'!$B:$B,"DK.FIN.INST",'02_MASTER'!$E:$E,1991)=0,"",SUMIFS('02_MASTER'!$F:$F,'02_MASTER'!$B:$B,"DK.FIN.INST",'02_MASTER'!$E:$E,1991))))-1</f>
        <v/>
      </c>
      <c r="C12" s="42" t="inlineStr"/>
      <c r="D12" s="30" t="inlineStr">
        <is>
          <t>The measure that rose. Every other line on this sheet falls.</t>
        </is>
      </c>
    </row>
    <row r="13">
      <c r="A13" s="27" t="inlineStr">
        <is>
          <t>Employees per branch, 2024</t>
        </is>
      </c>
      <c r="B13" s="35">
        <f>IF(COUNTIFS('02_MASTER'!$B:$B,"DK.FIN.EMP",'02_MASTER'!$E:$E,2024)=0,"",SUMIFS('02_MASTER'!$F:$F,'02_MASTER'!$B:$B,"DK.FIN.EMP",'02_MASTER'!$E:$E,2024))/IF(COUNTIFS('02_MASTER'!$B:$B,"DK.FIN.BRCH",'02_MASTER'!$E:$E,2024)=0,"",SUMIFS('02_MASTER'!$F:$F,'02_MASTER'!$B:$B,"DK.FIN.BRCH",'02_MASTER'!$E:$E,2024))</f>
        <v/>
      </c>
      <c r="C13" s="42" t="inlineStr"/>
      <c r="D13" s="30" t="inlineStr">
        <is>
          <t>Branch counts begin in 2004, so no 1991 comparison is available for this ratio.</t>
        </is>
      </c>
    </row>
    <row r="16">
      <c r="A16" s="34" t="inlineStr">
        <is>
          <t>Sources: Finans Danmark (FD1) for institutions, branches and employment. CAUTION ON THE PERIODS: institutions and employment run 1991-2024; branches only 2004-2024. The three percentage changes above are therefore NOT measured over a common window and must not be subtracted from one another. What is comparable is institutions against employment, both 1991-2024: institutions fell by roughly three quarters while employment fell by under a third. Reading: consolidation removed institutions and branches far faster than it removed jobs, so the surviving institutions are much larger. This is a concentration and scale effect, not a labour-shedding one, and it is the economic consequence of digital payment adoption that the branch count alone does not show. Employment figures are rounded by the source - it states 'around 51,000' and 'just under 36,000' - and carry flag e.</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4" customWidth="1" min="1" max="1"/>
    <col width="14" customWidth="1" min="2" max="2"/>
    <col width="66" customWidth="1" min="3" max="3"/>
    <col width="14" customWidth="1" min="4" max="4"/>
  </cols>
  <sheetData>
    <row r="1" ht="22" customHeight="1">
      <c r="A1" s="7" t="inlineStr">
        <is>
          <t>Figure 10 - At least basic digital skills, by age band, 2025</t>
        </is>
      </c>
    </row>
    <row r="2">
      <c r="A2" s="26" t="inlineStr">
        <is>
          <t>Denmark against the EU-27 average. Same publication, same definition, same year.</t>
        </is>
      </c>
    </row>
    <row r="3">
      <c r="F3" s="33" t="inlineStr">
        <is>
          <t>At least basic digital skills by age, DK vs EU-27</t>
        </is>
      </c>
    </row>
    <row r="4" ht="28" customHeight="1">
      <c r="A4" s="8" t="inlineStr">
        <is>
          <t>age band</t>
        </is>
      </c>
      <c r="B4" s="8" t="inlineStr">
        <is>
          <t>Denmark</t>
        </is>
      </c>
      <c r="C4" s="8" t="inlineStr">
        <is>
          <t>EU-27</t>
        </is>
      </c>
      <c r="D4" s="8" t="inlineStr">
        <is>
          <t>DK lead</t>
        </is>
      </c>
      <c r="F4" s="26" t="inlineStr">
        <is>
          <t>Denmark in blue; the EU-27 average in grey. Note that the Danish 55-74 bar still clears the EU average for its own band.</t>
        </is>
      </c>
    </row>
    <row r="5">
      <c r="A5" s="38" t="inlineStr">
        <is>
          <t>16-24</t>
        </is>
      </c>
      <c r="B5" s="32">
        <f>IF(COUNTIFS('02_MASTER'!$B:$B,"DK.SKL.1624",'02_MASTER'!$E:$E,2025)=0,"",SUMIFS('02_MASTER'!$F:$F,'02_MASTER'!$B:$B,"DK.SKL.1624",'02_MASTER'!$E:$E,2025))</f>
        <v/>
      </c>
      <c r="C5" s="32">
        <f>IF(COUNTIFS('02_MASTER'!$B:$B,"EU.SKL.1624",'02_MASTER'!$E:$E,2025)=0,"",SUMIFS('02_MASTER'!$F:$F,'02_MASTER'!$B:$B,"EU.SKL.1624",'02_MASTER'!$E:$E,2025))</f>
        <v/>
      </c>
      <c r="D5" s="40">
        <f>IF(COUNTIFS('02_MASTER'!$B:$B,"DK.SKL.1624",'02_MASTER'!$E:$E,2025)=0,"",SUMIFS('02_MASTER'!$F:$F,'02_MASTER'!$B:$B,"DK.SKL.1624",'02_MASTER'!$E:$E,2025))-IF(COUNTIFS('02_MASTER'!$B:$B,"EU.SKL.1624",'02_MASTER'!$E:$E,2025)=0,"",SUMIFS('02_MASTER'!$F:$F,'02_MASTER'!$B:$B,"EU.SKL.1624",'02_MASTER'!$E:$E,2025))</f>
        <v/>
      </c>
    </row>
    <row r="6">
      <c r="A6" s="38" t="inlineStr">
        <is>
          <t>25-54</t>
        </is>
      </c>
      <c r="B6" s="32">
        <f>IF(COUNTIFS('02_MASTER'!$B:$B,"DK.SKL.2554",'02_MASTER'!$E:$E,2025)=0,"",SUMIFS('02_MASTER'!$F:$F,'02_MASTER'!$B:$B,"DK.SKL.2554",'02_MASTER'!$E:$E,2025))</f>
        <v/>
      </c>
      <c r="C6" s="32">
        <f>IF(COUNTIFS('02_MASTER'!$B:$B,"EU.SKL.2554",'02_MASTER'!$E:$E,2025)=0,"",SUMIFS('02_MASTER'!$F:$F,'02_MASTER'!$B:$B,"EU.SKL.2554",'02_MASTER'!$E:$E,2025))</f>
        <v/>
      </c>
      <c r="D6" s="40">
        <f>IF(COUNTIFS('02_MASTER'!$B:$B,"DK.SKL.2554",'02_MASTER'!$E:$E,2025)=0,"",SUMIFS('02_MASTER'!$F:$F,'02_MASTER'!$B:$B,"DK.SKL.2554",'02_MASTER'!$E:$E,2025))-IF(COUNTIFS('02_MASTER'!$B:$B,"EU.SKL.2554",'02_MASTER'!$E:$E,2025)=0,"",SUMIFS('02_MASTER'!$F:$F,'02_MASTER'!$B:$B,"EU.SKL.2554",'02_MASTER'!$E:$E,2025))</f>
        <v/>
      </c>
    </row>
    <row r="7">
      <c r="A7" s="38" t="inlineStr">
        <is>
          <t>55-74</t>
        </is>
      </c>
      <c r="B7" s="32">
        <f>IF(COUNTIFS('02_MASTER'!$B:$B,"DK.SKL.5574",'02_MASTER'!$E:$E,2025)=0,"",SUMIFS('02_MASTER'!$F:$F,'02_MASTER'!$B:$B,"DK.SKL.5574",'02_MASTER'!$E:$E,2025))</f>
        <v/>
      </c>
      <c r="C7" s="32">
        <f>IF(COUNTIFS('02_MASTER'!$B:$B,"EU.SKL.5574",'02_MASTER'!$E:$E,2025)=0,"",SUMIFS('02_MASTER'!$F:$F,'02_MASTER'!$B:$B,"EU.SKL.5574",'02_MASTER'!$E:$E,2025))</f>
        <v/>
      </c>
      <c r="D7" s="40">
        <f>IF(COUNTIFS('02_MASTER'!$B:$B,"DK.SKL.5574",'02_MASTER'!$E:$E,2025)=0,"",SUMIFS('02_MASTER'!$F:$F,'02_MASTER'!$B:$B,"DK.SKL.5574",'02_MASTER'!$E:$E,2025))-IF(COUNTIFS('02_MASTER'!$B:$B,"EU.SKL.5574",'02_MASTER'!$E:$E,2025)=0,"",SUMIFS('02_MASTER'!$F:$F,'02_MASTER'!$B:$B,"EU.SKL.5574",'02_MASTER'!$E:$E,2025))</f>
        <v/>
      </c>
    </row>
    <row r="9">
      <c r="A9" s="3" t="inlineStr">
        <is>
          <t>WHY THIS MATTERS FOR THE EXCLUSION ARGUMENT</t>
        </is>
      </c>
    </row>
    <row r="10" ht="28" customHeight="1">
      <c r="A10" s="8" t="inlineStr">
        <is>
          <t>statistic</t>
        </is>
      </c>
      <c r="B10" s="8" t="inlineStr">
        <is>
          <t>value</t>
        </is>
      </c>
      <c r="C10" s="8" t="inlineStr">
        <is>
          <t>reading</t>
        </is>
      </c>
    </row>
    <row r="11" ht="30" customHeight="1">
      <c r="A11" s="27" t="inlineStr">
        <is>
          <t>Danish gradient, 16-24 less 55-74</t>
        </is>
      </c>
      <c r="B11" s="40">
        <f>IF(COUNTIFS('02_MASTER'!$B:$B,"DK.SKL.1624",'02_MASTER'!$E:$E,2025)=0,"",SUMIFS('02_MASTER'!$F:$F,'02_MASTER'!$B:$B,"DK.SKL.1624",'02_MASTER'!$E:$E,2025))-IF(COUNTIFS('02_MASTER'!$B:$B,"DK.SKL.5574",'02_MASTER'!$E:$E,2025)=0,"",SUMIFS('02_MASTER'!$F:$F,'02_MASTER'!$B:$B,"DK.SKL.5574",'02_MASTER'!$E:$E,2025))</f>
        <v/>
      </c>
      <c r="C11" s="30" t="inlineStr">
        <is>
          <t>The internal spread across Danish age bands.</t>
        </is>
      </c>
    </row>
    <row r="12" ht="30" customHeight="1">
      <c r="A12" s="27" t="inlineStr">
        <is>
          <t>EU gradient, 16-24 less 55-74</t>
        </is>
      </c>
      <c r="B12" s="40">
        <f>IF(COUNTIFS('02_MASTER'!$B:$B,"EU.SKL.1624",'02_MASTER'!$E:$E,2025)=0,"",SUMIFS('02_MASTER'!$F:$F,'02_MASTER'!$B:$B,"EU.SKL.1624",'02_MASTER'!$E:$E,2025))-IF(COUNTIFS('02_MASTER'!$B:$B,"EU.SKL.5574",'02_MASTER'!$E:$E,2025)=0,"",SUMIFS('02_MASTER'!$F:$F,'02_MASTER'!$B:$B,"EU.SKL.5574",'02_MASTER'!$E:$E,2025))</f>
        <v/>
      </c>
      <c r="C12" s="30" t="inlineStr">
        <is>
          <t>The same spread for the EU as a whole. Denmark's is the narrower of the two, so its age gradient is comparatively mild.</t>
        </is>
      </c>
    </row>
    <row r="13" ht="30" customHeight="1">
      <c r="A13" s="27" t="inlineStr">
        <is>
          <t>Danish 55-74 less the EU average for 55-74</t>
        </is>
      </c>
      <c r="B13" s="40">
        <f>IF(COUNTIFS('02_MASTER'!$B:$B,"DK.SKL.5574",'02_MASTER'!$E:$E,2025)=0,"",SUMIFS('02_MASTER'!$F:$F,'02_MASTER'!$B:$B,"DK.SKL.5574",'02_MASTER'!$E:$E,2025))-IF(COUNTIFS('02_MASTER'!$B:$B,"EU.SKL.5574",'02_MASTER'!$E:$E,2025)=0,"",SUMIFS('02_MASTER'!$F:$F,'02_MASTER'!$B:$B,"EU.SKL.5574",'02_MASTER'!$E:$E,2025))</f>
        <v/>
      </c>
      <c r="C13" s="30" t="inlineStr">
        <is>
          <t>Denmark's weakest band against the EU's same band - NOT against the EU all-ages average. Positive and large.</t>
        </is>
      </c>
    </row>
    <row r="15">
      <c r="A15" s="34" t="inlineStr">
        <is>
          <t>Source: European Commission, Digital Decade 2026 country report for Denmark (EC1). The three EU-27 values were previously held only in the note field of the Danish rows; they are now observations in 02_MASTER under EU.SKL.*, because a figure in a note cannot be looked up, charted or traced. READING: Denmark leads the EU average in every age band, and its weakest band (55-74) clears the EU average for that same band by a wide margin. The Danish population excluded from digital public services is therefore not explained by low skills relative to Europe - the mandate is calibrated above the bottom of its own distribution. Compare the exclusion measures on F4: 4.7% are formally exempt while 16.5% report difficulty. That gap is administrative, not a capability deficit. Do not compare the 55-74 figure against an EU all-ages average; the comparison is band against the same band.</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6" customWidth="1" min="1" max="1"/>
    <col width="92" customWidth="1" min="2" max="2"/>
  </cols>
  <sheetData>
    <row r="1" ht="22" customHeight="1">
      <c r="A1" s="7" t="inlineStr">
        <is>
          <t>Documented gap - retail trade volume index</t>
        </is>
      </c>
    </row>
    <row r="2">
      <c r="A2" s="26" t="inlineStr">
        <is>
          <t>Recorded rather than silently omitted.</t>
        </is>
      </c>
    </row>
    <row r="4" ht="20" customHeight="1">
      <c r="A4" s="3" t="inlineStr">
        <is>
          <t>Status</t>
        </is>
      </c>
      <c r="B4" s="45" t="inlineStr">
        <is>
          <t>NOT RETRIEVED</t>
        </is>
      </c>
    </row>
    <row r="5" ht="20" customHeight="1">
      <c r="A5" s="3" t="inlineStr">
        <is>
          <t>Indicator</t>
        </is>
      </c>
      <c r="B5" s="45" t="inlineStr">
        <is>
          <t>Retail trade turnover, volume index (mangdeindeks)</t>
        </is>
      </c>
    </row>
    <row r="6" ht="20" customHeight="1">
      <c r="A6" s="3" t="inlineStr">
        <is>
          <t>Authority</t>
        </is>
      </c>
      <c r="B6" s="45" t="inlineStr">
        <is>
          <t>Danmarks Statistik (DST1); also available via Eurostat sts_trtu_a</t>
        </is>
      </c>
    </row>
    <row r="7" ht="20" customHeight="1">
      <c r="A7" s="3" t="inlineStr">
        <is>
          <t>Filters required</t>
        </is>
      </c>
      <c r="B7" s="45" t="inlineStr">
        <is>
          <t>geo=DK; nace_r2=G47; indic_bt=VOL; s_adj=SCA; unit=I21 (2021=100)</t>
        </is>
      </c>
    </row>
    <row r="8" ht="44" customHeight="1">
      <c r="A8" s="3" t="inlineStr">
        <is>
          <t>Why not retrieved</t>
        </is>
      </c>
      <c r="B8" s="45" t="inlineStr">
        <is>
          <t>Values are published through StatBank and the Eurostat databrowser. This session's network policy blocked direct access to both, and the figure could not be verified by search. A value that cannot be traced is not entered.</t>
        </is>
      </c>
    </row>
    <row r="9" ht="44" customHeight="1">
      <c r="A9" s="3" t="inlineStr">
        <is>
          <t>Base year caution</t>
        </is>
      </c>
      <c r="B9" s="45" t="inlineStr">
        <is>
          <t>Danmarks Statistik rebased the index from 2015=100 to 2021=100. Series retrieved on different bases must not be joined.</t>
        </is>
      </c>
    </row>
    <row r="10" ht="44" customHeight="1">
      <c r="A10" s="3" t="inlineStr">
        <is>
          <t>Effect on the analysis</t>
        </is>
      </c>
      <c r="B10" s="45" t="inlineStr">
        <is>
          <t>The e-commerce section rests on the enterprise e-sales evidence in F3_ESALES instead, which is better sourced. No conclusion in the report depends on this series.</t>
        </is>
      </c>
    </row>
    <row r="11" ht="44" customHeight="1">
      <c r="A11" s="3" t="inlineStr">
        <is>
          <t>To fill</t>
        </is>
      </c>
      <c r="B11" s="45" t="inlineStr">
        <is>
          <t>Retrieve from statistikbanken.dk, add rows to dataset.py under series_code DK.RET.VOL with unit 'index 2021=100', and re-run build_workbook.py.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30" customWidth="1" min="1" max="1"/>
    <col width="92" customWidth="1" min="2" max="2"/>
  </cols>
  <sheetData>
    <row r="1" ht="22" customHeight="1">
      <c r="A1" s="7" t="inlineStr">
        <is>
          <t>Data quality statement</t>
        </is>
      </c>
    </row>
    <row r="2">
      <c r="A2" s="26" t="inlineStr">
        <is>
          <t>Read before citing any value.</t>
        </is>
      </c>
    </row>
    <row r="4" ht="62" customHeight="1">
      <c r="A4" s="3" t="inlineStr">
        <is>
          <t>No inferential statistics</t>
        </is>
      </c>
      <c r="B4" s="20" t="inlineStr">
        <is>
          <t>The longest series here has six observations. Regression, cointegration and Granger-causality procedures require far more, and any such result on this dataset would be uninterpretable. The workbook supports description and comparison only. Co-movement between digital payment adoption and branch closures is presented as association, never as measured causation.</t>
        </is>
      </c>
    </row>
    <row r="5" ht="62" customHeight="1">
      <c r="A5" s="3" t="inlineStr">
        <is>
          <t>Figure 6 tail selection - RESOLVED, and what it cost</t>
        </is>
      </c>
      <c r="B5" s="20" t="inlineStr">
        <is>
          <t>The adoption column in Figure 6 was originally assembled from a Eurostat press release naming the highest three countries, the lowest three and two large movers, so most plotted points came from the ends of the EU distribution. Selecting on the extremes of X inflates the correlation coefficient regardless of the underlying relationship, and R-squared was withheld from the chart face for that reason. The column is now the complete isoc_ec_ib20 databrowser extract for all 27 member states, unrounded, so the selection is gone and R-squared is displayed. The measured cost of the bias is retained on F6 because it is informative: on the 6 tail countries the fit was R-squared 0.853 with a slope of +0.655; on the complete cross-section it is R-squared 0.674 with a slope of +0.602. Tail selection barely moved the slope and flattered the fit by 0.18.</t>
        </is>
      </c>
    </row>
    <row r="6" ht="62" customHeight="1">
      <c r="A6" s="3" t="inlineStr">
        <is>
          <t>No price deflator on the turnover series</t>
        </is>
      </c>
      <c r="B6" s="20" t="inlineStr">
        <is>
          <t>E-sales as a share of enterprise turnover runs 2014 to 2024, spanning the pandemic and the 2022 inflation episode. Turnover is nominal, and online and physical retail did not face the same price path. Part of the measured rise in the e-sales share is therefore relative price movement rather than real reallocation of activity. No deflator was available in this session and none has been applied, so the doubling of intensity should be read as nominal.</t>
        </is>
      </c>
    </row>
    <row r="7" ht="62" customHeight="1">
      <c r="A7" s="3" t="inlineStr">
        <is>
          <t>Banking series use different base years</t>
        </is>
      </c>
      <c r="B7" s="20" t="inlineStr">
        <is>
          <t>This constrains F9_CONSOLIDATION directly: the three percentage changes on that sheet are not measured over a common window, so they must not be differenced against one another. Institutions and employment are comparable to each other, both 1991-2024. Branch counts begin in 2004; institution counts and employment begin in 1991. A 2004-2024 branch change and a 1991-2024 employment change are not comparable, and placing the two percentages side by side in prose would misrepresent both. 05_CALC labels every window explicitly. Either state both windows or do not draw the comparison.</t>
        </is>
      </c>
    </row>
    <row r="8" ht="62" customHeight="1">
      <c r="A8" s="3" t="inlineStr">
        <is>
          <t>No sampling error is reported anywhere</t>
        </is>
      </c>
      <c r="B8" s="20" t="inlineStr">
        <is>
          <t>The Eurostat, Nationalbank and Agency for Digital Government figures are survey estimates and carry sampling error that the issuing authorities publish but this workbook does not reproduce. Small differences should not be treated as established: a 2-3 point gap between two survey proportions, or between two eGovernment Benchmark scores, may not be distinguishable from zero. Directions are more robust than magnitudes throughout.</t>
        </is>
      </c>
    </row>
    <row r="9" ht="62" customHeight="1">
      <c r="A9" s="3" t="inlineStr">
        <is>
          <t>Headcount conversions rest on an implied denominator</t>
        </is>
      </c>
      <c r="B9" s="20" t="inlineStr">
        <is>
          <t>A published figure for the Danish population aged 15 and over could not be verified in this session. F4 therefore derives an implied 15+ base by dividing the exempt headcount by the exemption rate, both from the same source. Persons-affected figures built on it are orders of magnitude, not counts, and the capability shares they scale are measured on 'the population' rather than on the 15+ base - the denominators are not identical. Every such cell is marked in place.</t>
        </is>
      </c>
    </row>
    <row r="10" ht="62" customHeight="1">
      <c r="A10" s="3" t="inlineStr">
        <is>
          <t>A withdrawn claim about SMV:Digital</t>
        </is>
      </c>
      <c r="B10" s="20" t="inlineStr">
        <is>
          <t>An earlier draft of this workbook asserted that SMV:Digital was being defunded, and an argument was built on the contrast between a programme that works and a programme being cut. The claim could not be verified. The scheme's own 2026 grant-pool page documents pools still open and a further pool opening on 26 October 2026. The claim has been removed from the dataset and from the report's argument, and the correction is recorded in 09_POLICY and 08_AI_LOG rather than silently erased.</t>
        </is>
      </c>
    </row>
    <row r="11" ht="62" customHeight="1">
      <c r="A11" s="3" t="inlineStr">
        <is>
          <t>Unbalanced panel</t>
        </is>
      </c>
      <c r="B11" s="20" t="inlineStr">
        <is>
          <t>Observation years differ by series because the underlying sources publish on different cycles - payment habits roughly biennially, Eurostat annually, branch counts irregularly. Gaps are genuine and are not filled.</t>
        </is>
      </c>
    </row>
    <row r="12" ht="62" customHeight="1">
      <c r="A12" s="3" t="inlineStr">
        <is>
          <t>Denominator break</t>
        </is>
      </c>
      <c r="B12" s="20" t="inlineStr">
        <is>
          <t>Danish online-purchasing figures change base between 2019 (% of individuals) and 2020 onward (% of internet users). The 2019 observation carries flag 'b' and is never plotted with later years.</t>
        </is>
      </c>
    </row>
    <row r="13" ht="62" customHeight="1">
      <c r="A13" s="3" t="inlineStr">
        <is>
          <t>Verbal quantities</t>
        </is>
      </c>
      <c r="B13" s="20" t="inlineStr">
        <is>
          <t>Values flagged 'e' were published as words, not figures - 'nearly one in five', 'just under 36,000'. They are recorded as the stated approximation with the original wording in the notes column.</t>
        </is>
      </c>
    </row>
    <row r="14" ht="62" customHeight="1">
      <c r="A14" s="3" t="inlineStr">
        <is>
          <t>Confounded outcome</t>
        </is>
      </c>
      <c r="B14" s="20" t="inlineStr">
        <is>
          <t>Branch closures reflect both digitalisation and sectoral consolidation (219 institutions in 1991, 51 in 2024). The branch series alone cannot separate these, and the report should not claim that it does.</t>
        </is>
      </c>
    </row>
    <row r="15" ht="62" customHeight="1">
      <c r="A15" s="3" t="inlineStr">
        <is>
          <t>Definitional spread in exclusion measures</t>
        </is>
      </c>
      <c r="B15" s="20" t="inlineStr">
        <is>
          <t>The five exclusion measures range from 4.7% to 25% because they define the population differently. They are not competing estimates of one quantity and must not be averaged or presented as a range.</t>
        </is>
      </c>
    </row>
    <row r="16" ht="62" customHeight="1">
      <c r="A16" s="3" t="inlineStr">
        <is>
          <t>Cross-section complete on adoption, incomplete on outcome</t>
        </is>
      </c>
      <c r="B16" s="20" t="inlineStr">
        <is>
          <t>The adoption measure now covers all 27 member states for 2024, so F5 is a complete EU ranking. The enterprise-turnover measure does not: nine member states hold adoption but not turnover and cannot enter Figure 6. Those nine are dropped by data availability rather than by their position on either axis, which is why the remaining 18 are treated as a usable cross-section.</t>
        </is>
      </c>
    </row>
    <row r="17" ht="62" customHeight="1">
      <c r="A17" s="3" t="inlineStr">
        <is>
          <t>Figure 6 sample size</t>
        </is>
      </c>
      <c r="B17" s="20" t="inlineStr">
        <is>
          <t>The adoption-to-outcome scatter rests on 18 complete country pairs, up from 6. That is enough to report a slope with a standard error and a t-statistic, all three of which are on the sheet as live formulas. It is not enough, and no sample size would be enough here, to support a claim about causal direction: this is one year of cross-sectional data with no control for national income. Say n explicitly, report the slope with its standard error, and keep the language associational.</t>
        </is>
      </c>
    </row>
    <row r="18" ht="62" customHeight="1">
      <c r="A18" s="3" t="inlineStr">
        <is>
          <t>Figure 6 measures two sides of the market</t>
        </is>
      </c>
      <c r="B18" s="20" t="inlineStr">
        <is>
          <t>X is a consumer measure (individuals buying online); Y is an all-enterprise, all-sector measure that includes B2B and EDI ordering. A positive association indicates that digital commerce runs deep in an economy. It is not evidence that consumer purchasing causes enterprise turnover, and must not be written as though it were.</t>
        </is>
      </c>
    </row>
    <row r="19" ht="62" customHeight="1">
      <c r="A19" s="3" t="inlineStr">
        <is>
          <t>Mirror-sourced column</t>
        </is>
      </c>
      <c r="B19" s="20" t="inlineStr">
        <is>
          <t>The 16 country-level e-sales turnover values flagged 'u' were retrieved via search of Eurostat tin00110 rather than from the databrowser directly. Two values in the same column (EU27 19.49 and Ireland 38.25) are independently corroborated by source ES5, which supports the column, but each value should be spot-checked against the databrowser before final submission.</t>
        </is>
      </c>
    </row>
    <row r="20" ht="62" customHeight="1">
      <c r="A20" s="3" t="inlineStr">
        <is>
          <t>Search-based verification</t>
        </is>
      </c>
      <c r="B20" s="20" t="inlineStr">
        <is>
          <t>Direct access to statistical portals was blocked in the build environment. Values were verified against the issuing authority through search results reporting those publications. This is weaker than downloading the dataset: before final submission, spot-check high-stakes figures against the source pages directly.</t>
        </is>
      </c>
    </row>
    <row r="21" ht="62" customHeight="1">
      <c r="A21" s="3" t="inlineStr">
        <is>
          <t>Discarded material</t>
        </is>
      </c>
      <c r="B21" s="20" t="inlineStr">
        <is>
          <t>An earlier candidate dataset was rejected in full after verification found fabricated values carrying authentic dataset codes and extraction dates - including a Eurostat cross-section that inverted the true EU country ranking. None of it survives in this workbook.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8" customWidth="1" min="1" max="1"/>
    <col width="40" customWidth="1" min="2" max="2"/>
    <col width="46" customWidth="1" min="3" max="3"/>
    <col width="34" customWidth="1" min="4" max="4"/>
  </cols>
  <sheetData>
    <row r="1" ht="22" customHeight="1">
      <c r="A1" s="7" t="inlineStr">
        <is>
          <t>AI use and validation log</t>
        </is>
      </c>
    </row>
    <row r="2">
      <c r="A2" s="26" t="inlineStr">
        <is>
          <t>Raw material for the AI Use and Validation Appendix.</t>
        </is>
      </c>
    </row>
    <row r="4" ht="28" customHeight="1">
      <c r="A4" s="8" t="inlineStr">
        <is>
          <t>step</t>
        </is>
      </c>
      <c r="B4" s="8" t="inlineStr">
        <is>
          <t>AI assistance used</t>
        </is>
      </c>
      <c r="C4" s="8" t="inlineStr">
        <is>
          <t>how it was validated</t>
        </is>
      </c>
      <c r="D4" s="8" t="inlineStr">
        <is>
          <t>outcome</t>
        </is>
      </c>
    </row>
    <row r="5" ht="52" customHeight="1">
      <c r="A5" s="15" t="inlineStr">
        <is>
          <t>Source identification</t>
        </is>
      </c>
      <c r="B5" s="15" t="inlineStr">
        <is>
          <t>AI used to identify candidate statistical sources and dataset codes.</t>
        </is>
      </c>
      <c r="C5" s="15" t="inlineStr">
        <is>
          <t>Each source opened or search-verified against the issuing authority.</t>
        </is>
      </c>
      <c r="D5" s="15" t="inlineStr">
        <is>
          <t>Source register in 03_SOURCES.</t>
        </is>
      </c>
    </row>
    <row r="6" ht="52" customHeight="1">
      <c r="A6" s="15" t="inlineStr">
        <is>
          <t>Value retrieval</t>
        </is>
      </c>
      <c r="B6" s="15" t="inlineStr">
        <is>
          <t>AI used to search for published values by authority and indicator.</t>
        </is>
      </c>
      <c r="C6" s="15" t="inlineStr">
        <is>
          <t>Each value checked against a result reporting the issuing authority's own publication.</t>
        </is>
      </c>
      <c r="D6" s="15" t="inlineStr">
        <is>
          <t>Every retained observation carries a source_id.</t>
        </is>
      </c>
    </row>
    <row r="7" ht="52" customHeight="1">
      <c r="A7" s="15" t="inlineStr">
        <is>
          <t>Rejection of a prior dataset</t>
        </is>
      </c>
      <c r="B7" s="15" t="inlineStr">
        <is>
          <t>A candidate dataset produced with AI assistance was reviewed.</t>
        </is>
      </c>
      <c r="C7" s="15" t="inlineStr">
        <is>
          <t>Cross-checked against Eurostat's published country ranking; the values inverted the true ranking and contained duplicated and interpolated cells.</t>
        </is>
      </c>
      <c r="D7" s="15" t="inlineStr">
        <is>
          <t>Dataset rejected in full and excluded.</t>
        </is>
      </c>
    </row>
    <row r="8" ht="52" customHeight="1">
      <c r="A8" s="15" t="inlineStr">
        <is>
          <t>Withdrawal of an AI-suggested claim</t>
        </is>
      </c>
      <c r="B8" s="15" t="inlineStr">
        <is>
          <t>An AI-assisted draft asserted that the SMV:Digital grant scheme was being defunded, and an argument was built on the contrast between a programme with measured positive effects and a programme being cut.</t>
        </is>
      </c>
      <c r="C8" s="15" t="inlineStr">
        <is>
          <t>Searched for the scheme's funding status. The scheme's own 2026 grant-pool page documents pools still open and a further pool opening 26 October 2026. No source supported the defunding claim.</t>
        </is>
      </c>
      <c r="D8" s="15" t="inlineStr">
        <is>
          <t>Claim withdrawn from the dataset and the argument; the withdrawal is recorded in 09_POLICY and 07_LIMITATIONS rather than erased.</t>
        </is>
      </c>
    </row>
    <row r="9" ht="52" customHeight="1">
      <c r="A9" s="15" t="inlineStr">
        <is>
          <t>Statistical self-audit</t>
        </is>
      </c>
      <c r="B9" s="15" t="inlineStr">
        <is>
          <t>AI was asked to audit its own workbook as a macroeconomic policy reviewer would.</t>
        </is>
      </c>
      <c r="C9" s="15" t="inlineStr">
        <is>
          <t>The audit found that Figure 6's adoption column had been assembled from a press release naming only the top three, bottom three and three large movers - a sample drawn from the tails, which inflates R-squared by construction.</t>
        </is>
      </c>
      <c r="D9" s="15" t="inlineStr">
        <is>
          <t>R-squared removed from the chart face; a selection warning added to F6; the limitation recorded in 07_LIMITATIONS. Later resolved - see the two rows below.</t>
        </is>
      </c>
    </row>
    <row r="10" ht="52" customHeight="1">
      <c r="A10" s="15" t="inlineStr">
        <is>
          <t>Failed verification attempt</t>
        </is>
      </c>
      <c r="B10" s="15" t="inlineStr">
        <is>
          <t>AI was asked to retrieve Eurostat isoc_ec_ib20 for 2024 for the twelve member states missing from Figure 6, so the tail selection could be removed.</t>
        </is>
      </c>
      <c r="C10" s="15" t="inlineStr">
        <is>
          <t>Eurostat and the national statistical offices are unreachable from the build environment. Web search returned only the press release naming the same tails, two country values with no attributable source, and one answer mixing the '% of internet users' and '% of individuals' denominators in a single paragraph.</t>
        </is>
      </c>
      <c r="D10" s="15" t="inlineStr">
        <is>
          <t>No values accepted. Recorded because the honest outcome of a verification attempt is sometimes that it failed.</t>
        </is>
      </c>
    </row>
    <row r="11" ht="52" customHeight="1">
      <c r="A11" s="15" t="inlineStr">
        <is>
          <t>Author-supplied authoritative extract</t>
        </is>
      </c>
      <c r="B11" s="15" t="inlineStr">
        <is>
          <t>The author retrieved the complete isoc_ec_ib20 table from the Eurostat databrowser and supplied it as a spreadsheet; AI parsed it into the dataset.</t>
        </is>
      </c>
      <c r="C11" s="15" t="inlineStr">
        <is>
          <t>The extract carries its own provenance header - dataset code, extraction timestamp, last-update date, and an explicit unit of 'percentage of individuals who used internet within the last year'. The ten values it overlapped with were compared against the rounded press-release figures already held; all ten agreed to rounding.</t>
        </is>
      </c>
      <c r="D11" s="15" t="inlineStr">
        <is>
          <t>All 27 member states plus the EU-27 aggregate added under source ES7. Figure 6 went from n=6 to n=18 and R-squared was restored to the chart face. The superseded rounded values are recorded in each row's note.</t>
        </is>
      </c>
    </row>
    <row r="12" ht="52" customHeight="1">
      <c r="A12" s="15" t="inlineStr">
        <is>
          <t>Workbook construction</t>
        </is>
      </c>
      <c r="B12" s="15" t="inlineStr">
        <is>
          <t>AI wrote the Python build script that generates this workbook.</t>
        </is>
      </c>
      <c r="C12" s="15" t="inlineStr">
        <is>
          <t>Structural assertions run at build time: source_ids resolve, units and denominators present, no duplicate observations, break flags set.</t>
        </is>
      </c>
      <c r="D12" s="15" t="inlineStr">
        <is>
          <t>build_workbook.py, re-runnable.</t>
        </is>
      </c>
    </row>
    <row r="13" ht="52" customHeight="1">
      <c r="A13" s="15" t="inlineStr">
        <is>
          <t>Analytical framing</t>
        </is>
      </c>
      <c r="B13" s="15" t="inlineStr">
        <is>
          <t>AI used to interpret patterns and suggest framings.</t>
        </is>
      </c>
      <c r="C13" s="15" t="inlineStr">
        <is>
          <t>Author reviewed each interpretation against the underlying values.</t>
        </is>
      </c>
      <c r="D13" s="15" t="inlineStr">
        <is>
          <t>Interpretations appear in the report, attributed to the author.</t>
        </is>
      </c>
    </row>
    <row r="14" ht="52" customHeight="1">
      <c r="A14" s="15" t="inlineStr">
        <is>
          <t>Not delegated to AI</t>
        </is>
      </c>
      <c r="B14" s="15" t="inlineStr">
        <is>
          <t>Selection of the research question, country, industries, SDG and policy comparator; the argument; the conclusions.</t>
        </is>
      </c>
      <c r="C14" s="15" t="inlineStr">
        <is>
          <t>n/a</t>
        </is>
      </c>
      <c r="D14" s="15" t="inlineStr">
        <is>
          <t>Author's own work.</t>
        </is>
      </c>
    </row>
    <row r="16">
      <c r="A16" s="34" t="inlineStr">
        <is>
          <t>This log records assistance during data assembly. Complete it with any further AI use during drafting before submission. The assessment requires that AI-assisted content be verified and acknowledged.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44" customWidth="1" min="3" max="3"/>
    <col width="32" customWidth="1" min="4" max="4"/>
    <col width="10" customWidth="1" min="5" max="5"/>
    <col width="74" customWidth="1" min="6" max="6"/>
    <col width="24" customWidth="1" min="7" max="7"/>
  </cols>
  <sheetData>
    <row r="1" ht="22" customHeight="1">
      <c r="A1" s="7" t="inlineStr">
        <is>
          <t>Policy events</t>
        </is>
      </c>
    </row>
    <row r="2">
      <c r="A2" s="26" t="inlineStr">
        <is>
          <t>Dated instruments, with the series each one bears on. Rendered as event tables beneath the figures they affect.</t>
        </is>
      </c>
    </row>
    <row r="4" ht="28" customHeight="1">
      <c r="A4" s="8" t="inlineStr">
        <is>
          <t>date</t>
        </is>
      </c>
      <c r="B4" s="8" t="inlineStr">
        <is>
          <t>precision</t>
        </is>
      </c>
      <c r="C4" s="8" t="inlineStr">
        <is>
          <t>instrument</t>
        </is>
      </c>
      <c r="D4" s="8" t="inlineStr">
        <is>
          <t>legal citation</t>
        </is>
      </c>
      <c r="E4" s="8" t="inlineStr">
        <is>
          <t>source_id</t>
        </is>
      </c>
      <c r="F4" s="8" t="inlineStr">
        <is>
          <t>what it does</t>
        </is>
      </c>
      <c r="G4" s="8" t="inlineStr">
        <is>
          <t>series affected</t>
        </is>
      </c>
    </row>
    <row r="5" ht="46" customHeight="1">
      <c r="A5" s="23" t="inlineStr">
        <is>
          <t>2012-06-11</t>
        </is>
      </c>
      <c r="B5" s="15" t="inlineStr">
        <is>
          <t>day</t>
        </is>
      </c>
      <c r="C5" s="15" t="inlineStr">
        <is>
          <t>Lov om Offentlig Digital Post adopted</t>
        </is>
      </c>
      <c r="D5" s="15" t="inlineStr">
        <is>
          <t>LOV nr 528 af 11/06/2012</t>
        </is>
      </c>
      <c r="E5" s="23" t="inlineStr">
        <is>
          <t>RI1</t>
        </is>
      </c>
      <c r="F5" s="15" t="inlineStr">
        <is>
          <t>Creates the statutory basis for mandatory public digital post. Section 10 deems delivery effective on availability, not on the message being read.</t>
        </is>
      </c>
      <c r="G5" s="23" t="inlineStr">
        <is>
          <t>DK.DGP.EXMP</t>
        </is>
      </c>
    </row>
    <row r="6" ht="46" customHeight="1">
      <c r="A6" s="23" t="inlineStr">
        <is>
          <t>2013-01-01</t>
        </is>
      </c>
      <c r="B6" s="15" t="inlineStr">
        <is>
          <t>year</t>
        </is>
      </c>
      <c r="C6" s="15" t="inlineStr">
        <is>
          <t>Digital Post becomes mandatory for businesses</t>
        </is>
      </c>
      <c r="D6" s="15" t="inlineStr">
        <is>
          <t>Lov om Offentlig Digital Post</t>
        </is>
      </c>
      <c r="E6" s="23" t="inlineStr">
        <is>
          <t>DG4</t>
        </is>
      </c>
      <c r="F6" s="15" t="inlineStr">
        <is>
          <t>Businesses are enrolled a year ahead of citizens.</t>
        </is>
      </c>
      <c r="G6" s="23" t="inlineStr">
        <is>
          <t>DK.ECM.ENT.TRN</t>
        </is>
      </c>
    </row>
    <row r="7" ht="46" customHeight="1">
      <c r="A7" s="23" t="inlineStr">
        <is>
          <t>2014-11-01</t>
        </is>
      </c>
      <c r="B7" s="15" t="inlineStr">
        <is>
          <t>day</t>
        </is>
      </c>
      <c r="C7" s="15" t="inlineStr">
        <is>
          <t>Digital Post becomes mandatory for citizens aged 15+</t>
        </is>
      </c>
      <c r="D7" s="15" t="inlineStr">
        <is>
          <t>Lov om Offentlig Digital Post</t>
        </is>
      </c>
      <c r="E7" s="23" t="inlineStr">
        <is>
          <t>DG4</t>
        </is>
      </c>
      <c r="F7" s="15" t="inlineStr">
        <is>
          <t>Citizens are enrolled automatically whether or not they registered themselves. Exemption is available only against statutory criteria. This is the single most consequential date in this workbook.</t>
        </is>
      </c>
      <c r="G7" s="23" t="inlineStr">
        <is>
          <t>DK.DGP.EXMP</t>
        </is>
      </c>
    </row>
    <row r="8" ht="46" customHeight="1">
      <c r="A8" s="23" t="inlineStr">
        <is>
          <t>2016-01-01</t>
        </is>
      </c>
      <c r="B8" s="15" t="inlineStr">
        <is>
          <t>month</t>
        </is>
      </c>
      <c r="C8" s="15" t="inlineStr">
        <is>
          <t>Rigsrevisionen reports on the Digital Post business case</t>
        </is>
      </c>
      <c r="D8" s="15" t="inlineStr">
        <is>
          <t>Beretning, January 2016</t>
        </is>
      </c>
      <c r="E8" s="23" t="inlineStr">
        <is>
          <t>RR1</t>
        </is>
      </c>
      <c r="F8" s="15" t="inlineStr">
        <is>
          <t>Of an approx. DKK 1bn projected annual saving, only DKK 450m - postage, paper and envelopes - could be verified.</t>
        </is>
      </c>
      <c r="G8" s="23" t="inlineStr">
        <is>
          <t>DK.GOV.DGP.SAVE.PLAN</t>
        </is>
      </c>
    </row>
    <row r="9" ht="46" customHeight="1">
      <c r="A9" s="23" t="inlineStr">
        <is>
          <t>2018-01-01</t>
        </is>
      </c>
      <c r="B9" s="15" t="inlineStr">
        <is>
          <t>year</t>
        </is>
      </c>
      <c r="C9" s="15" t="inlineStr">
        <is>
          <t>SMV:Digital launched</t>
        </is>
      </c>
      <c r="D9" s="15" t="inlineStr">
        <is>
          <t>Danish digital growth plan for SMEs</t>
        </is>
      </c>
      <c r="E9" s="23" t="inlineStr">
        <is>
          <t>DG3</t>
        </is>
      </c>
      <c r="F9" s="15" t="inlineStr">
        <is>
          <t>Grant scheme subsidising SME digitalisation projects.</t>
        </is>
      </c>
      <c r="G9" s="23" t="inlineStr">
        <is>
          <t>DK.SME.SMVD.PROJ</t>
        </is>
      </c>
    </row>
    <row r="10" ht="46" customHeight="1">
      <c r="A10" s="23" t="inlineStr">
        <is>
          <t>2021-10-01</t>
        </is>
      </c>
      <c r="B10" s="15" t="inlineStr">
        <is>
          <t>month</t>
        </is>
      </c>
      <c r="C10" s="15" t="inlineStr">
        <is>
          <t>MitID rollout begins</t>
        </is>
      </c>
      <c r="D10" s="15" t="inlineStr">
        <is>
          <t>National electronic ID replacement programme</t>
        </is>
      </c>
      <c r="E10" s="23" t="inlineStr">
        <is>
          <t>DG4</t>
        </is>
      </c>
      <c r="F10" s="15" t="inlineStr">
        <is>
          <t>Begins the migration of the whole population off NemID.</t>
        </is>
      </c>
      <c r="G10" s="23" t="inlineStr">
        <is>
          <t>DK.TRU.DPS</t>
        </is>
      </c>
    </row>
    <row r="11" ht="46" customHeight="1">
      <c r="A11" s="23" t="inlineStr">
        <is>
          <t>2022-07-01</t>
        </is>
      </c>
      <c r="B11" s="15" t="inlineStr">
        <is>
          <t>day</t>
        </is>
      </c>
      <c r="C11" s="15" t="inlineStr">
        <is>
          <t>Kontantreglen amended</t>
        </is>
      </c>
      <c r="D11" s="15" t="inlineStr">
        <is>
          <t>Lov om betalinger, ss 81</t>
        </is>
      </c>
      <c r="E11" s="23" t="inlineStr">
        <is>
          <t>RI2</t>
        </is>
      </c>
      <c r="F11" s="15" t="inlineStr">
        <is>
          <t>Businesses may refuse cash from other businesses; temporary events are exempted; the notification duty for 06:00-20:00 acceptance is removed. The obligation on shops to accept cash from consumers remains.</t>
        </is>
      </c>
      <c r="G11" s="23" t="inlineStr">
        <is>
          <t>DK.PAY.CASH.POS</t>
        </is>
      </c>
    </row>
    <row r="12" ht="46" customHeight="1">
      <c r="A12" s="23" t="inlineStr">
        <is>
          <t>2022-09-22</t>
        </is>
      </c>
      <c r="B12" s="15" t="inlineStr">
        <is>
          <t>day</t>
        </is>
      </c>
      <c r="C12" s="15" t="inlineStr">
        <is>
          <t>MitID required for public digital services</t>
        </is>
      </c>
      <c r="D12" s="15" t="inlineStr">
        <is>
          <t>National electronic ID replacement programme</t>
        </is>
      </c>
      <c r="E12" s="23" t="inlineStr">
        <is>
          <t>DG4</t>
        </is>
      </c>
      <c r="F12" s="15" t="inlineStr">
        <is>
          <t>From this date citizens need MitID for borger.dk, skat.dk and sundhed.dk.</t>
        </is>
      </c>
      <c r="G12" s="23" t="inlineStr">
        <is>
          <t>DK.TRU.DPS</t>
        </is>
      </c>
    </row>
    <row r="13" ht="46" customHeight="1">
      <c r="A13" s="23" t="inlineStr">
        <is>
          <t>2023-10-31</t>
        </is>
      </c>
      <c r="B13" s="15" t="inlineStr">
        <is>
          <t>day</t>
        </is>
      </c>
      <c r="C13" s="15" t="inlineStr">
        <is>
          <t>NemID fully phased out</t>
        </is>
      </c>
      <c r="D13" s="15" t="inlineStr">
        <is>
          <t>National electronic ID replacement programme</t>
        </is>
      </c>
      <c r="E13" s="23" t="inlineStr">
        <is>
          <t>DG4</t>
        </is>
      </c>
      <c r="F13" s="15" t="inlineStr">
        <is>
          <t>The predecessor credential can no longer be obtained or used.</t>
        </is>
      </c>
      <c r="G13" s="23" t="inlineStr">
        <is>
          <t>DK.TRU.DPS</t>
        </is>
      </c>
    </row>
    <row r="14" ht="46" customHeight="1">
      <c r="A14" s="23" t="inlineStr">
        <is>
          <t>2026-01-01</t>
        </is>
      </c>
      <c r="B14" s="15" t="inlineStr">
        <is>
          <t>year</t>
        </is>
      </c>
      <c r="C14" s="15" t="inlineStr">
        <is>
          <t>SMV:Digital grant pools continue</t>
        </is>
      </c>
      <c r="D14" s="15" t="inlineStr">
        <is>
          <t>Tilskudspuljer i 2026</t>
        </is>
      </c>
      <c r="E14" s="23" t="inlineStr">
        <is>
          <t>SMV1</t>
        </is>
      </c>
      <c r="F14" s="15" t="inlineStr">
        <is>
          <t>The scheme is still operating and still awarding grants in 2026; a further pool opens on 26 October 2026. Recorded because an earlier draft of this workbook asserted the scheme was being defunded. It was not verifiable and the opposite is documented.</t>
        </is>
      </c>
      <c r="G14" s="23" t="inlineStr">
        <is>
          <t>DK.SME.SMVD.PROJ</t>
        </is>
      </c>
    </row>
    <row r="16">
      <c r="A16" s="34" t="inlineStr">
        <is>
          <t>Reading: the mandate date of 1 November 2014 is the hinge of this workbook. Digital Post was not adopted by citizens choosing it; citizens were enrolled automatically, and exemption is available only against statutory criteria. Adoption rates after that date therefore measure compliance with a legal obligation, not revealed preference, and no figure in this workbook should be read as though they measured preference.</t>
        </is>
      </c>
    </row>
    <row r="18">
      <c r="A18" s="34" t="inlineStr">
        <is>
          <t>CORRECTION RECORDED: an earlier draft of this workbook stated that SMV:Digital was being defunded. That claim could not be verified, and the scheme's own 2026 grant-pool page (SMV1) documents pools still open, with a further pool opening on 26 October 2026. The claim has been withdrawn from the dataset and from the report's argument. See 07_LIMITATIONS and 08_AI_LOG.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s4040040</dc:creator>
  <dc:title>Denmark: Digital Adoption and Policy Outcomes</dc:title>
  <dc:description>Statistical annex, v1.0, built 2026-09-12. 113 verified observations.</dc:description>
  <dc:subject>ECON1596/ECON1597 Digital Economy and Policy</dc:subject>
  <dcterms:created xsi:type="dcterms:W3CDTF">2026-09-12T16:42:19Z</dcterms:created>
  <dcterms:modified xsi:type="dcterms:W3CDTF">2026-09-12T16:42:19Z</dcterms:modified>
</cp:coreProperties>
</file>