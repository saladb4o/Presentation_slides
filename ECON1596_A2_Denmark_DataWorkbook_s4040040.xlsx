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drawings/drawing11.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README" sheetId="2" state="visible" r:id="rId2"/>
    <sheet xmlns:r="http://schemas.openxmlformats.org/officeDocument/2006/relationships" name="02_MASTER" sheetId="3" state="visible" r:id="rId3"/>
    <sheet xmlns:r="http://schemas.openxmlformats.org/officeDocument/2006/relationships" name="03_SOURCES" sheetId="4" state="visible" r:id="rId4"/>
    <sheet xmlns:r="http://schemas.openxmlformats.org/officeDocument/2006/relationships" name="04_DEFINITIONS" sheetId="5" state="visible" r:id="rId5"/>
    <sheet xmlns:r="http://schemas.openxmlformats.org/officeDocument/2006/relationships" name="05_CALC" sheetId="6" state="visible" r:id="rId6"/>
    <sheet xmlns:r="http://schemas.openxmlformats.org/officeDocument/2006/relationships" name="F1_BRANCHES" sheetId="7" state="visible" r:id="rId7"/>
    <sheet xmlns:r="http://schemas.openxmlformats.org/officeDocument/2006/relationships" name="F2_PAYMENTS" sheetId="8" state="visible" r:id="rId8"/>
    <sheet xmlns:r="http://schemas.openxmlformats.org/officeDocument/2006/relationships" name="F3_ESALES" sheetId="9" state="visible" r:id="rId9"/>
    <sheet xmlns:r="http://schemas.openxmlformats.org/officeDocument/2006/relationships" name="F4_EXCLUSION" sheetId="10" state="visible" r:id="rId10"/>
    <sheet xmlns:r="http://schemas.openxmlformats.org/officeDocument/2006/relationships" name="F5_EU27" sheetId="11" state="visible" r:id="rId11"/>
    <sheet xmlns:r="http://schemas.openxmlformats.org/officeDocument/2006/relationships" name="F6_ADOPT_BENEFIT" sheetId="12" state="visible" r:id="rId12"/>
    <sheet xmlns:r="http://schemas.openxmlformats.org/officeDocument/2006/relationships" name="F7_QUALITY" sheetId="13" state="visible" r:id="rId13"/>
    <sheet xmlns:r="http://schemas.openxmlformats.org/officeDocument/2006/relationships" name="F8_SMVDIGITAL" sheetId="14" state="visible" r:id="rId14"/>
    <sheet xmlns:r="http://schemas.openxmlformats.org/officeDocument/2006/relationships" name="F9_CONSOLIDATION" sheetId="15" state="visible" r:id="rId15"/>
    <sheet xmlns:r="http://schemas.openxmlformats.org/officeDocument/2006/relationships" name="F10_SKILLS" sheetId="16" state="visible" r:id="rId16"/>
    <sheet xmlns:r="http://schemas.openxmlformats.org/officeDocument/2006/relationships" name="F11_EWASTE" sheetId="17" state="visible" r:id="rId17"/>
    <sheet xmlns:r="http://schemas.openxmlformats.org/officeDocument/2006/relationships" name="F12_REACH" sheetId="18" state="visible" r:id="rId18"/>
    <sheet xmlns:r="http://schemas.openxmlformats.org/officeDocument/2006/relationships" name="06_RETAIL_GAP" sheetId="19" state="visible" r:id="rId19"/>
    <sheet xmlns:r="http://schemas.openxmlformats.org/officeDocument/2006/relationships" name="07_LIMITATIONS" sheetId="20" state="visible" r:id="rId20"/>
    <sheet xmlns:r="http://schemas.openxmlformats.org/officeDocument/2006/relationships" name="08_AI_LOG" sheetId="21" state="visible" r:id="rId21"/>
    <sheet xmlns:r="http://schemas.openxmlformats.org/officeDocument/2006/relationships" name="09_POLICY" sheetId="22" state="visible" r:id="rId22"/>
  </sheets>
  <definedNames>
    <definedName name="_xlnm._FilterDatabase" localSheetId="2" hidden="1">'02_MASTER'!$A$1:$L$137</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chart>
    <plotArea>
      <scatterChart>
        <ser>
          <idx val="0"/>
          <order val="0"/>
          <tx>
            <strRef>
              <f>'F1_BRANCHES'!B4</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Number of branches</a:t>
                </a:r>
              </a:p>
            </rich>
          </tx>
        </title>
        <majorTickMark val="none"/>
        <minorTickMark val="none"/>
        <spPr>
          <a:ln xmlns:a="http://schemas.openxmlformats.org/drawingml/2006/main">
            <a:noFill/>
            <a:prstDash val="solid"/>
          </a:ln>
        </spPr>
        <crossAx val="10"/>
      </valAx>
    </plotArea>
    <plotVisOnly val="1"/>
    <dispBlanksAs val="gap"/>
  </chart>
</chartSpace>
</file>

<file path=xl/charts/chart2.xml><?xml version="1.0" encoding="utf-8"?>
<chartSpace xmlns="http://schemas.openxmlformats.org/drawingml/2006/chart">
  <chart>
    <plotArea>
      <scatterChart>
        <ser>
          <idx val="0"/>
          <order val="0"/>
          <tx>
            <strRef>
              <f>'F2_PAYMENTS'!B5</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ax val="25"/>
          <min val="0"/>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
      </valAx>
    </plotArea>
    <plotVisOnly val="1"/>
    <dispBlanksAs val="gap"/>
  </chart>
</chartSpace>
</file>

<file path=xl/charts/chart3.xml><?xml version="1.0" encoding="utf-8"?>
<chartSpace xmlns="http://schemas.openxmlformats.org/drawingml/2006/chart">
  <chart>
    <plotArea>
      <barChart>
        <barDir val="bar"/>
        <grouping val="clustered"/>
        <ser>
          <idx val="0"/>
          <order val="0"/>
          <tx>
            <strRef>
              <f>'F2_PAYMENTS'!B11</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'F2_PAYMENTS'!$A$12:$A$14</f>
            </numRef>
          </cat>
          <val>
            <numRef>
              <f>'F2_PAYMENTS'!$B$12:$B$14</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4.xml><?xml version="1.0" encoding="utf-8"?>
<chartSpace xmlns="http://schemas.openxmlformats.org/drawingml/2006/chart">
  <chart>
    <plotArea>
      <barChart>
        <barDir val="col"/>
        <grouping val="clustered"/>
        <ser>
          <idx val="0"/>
          <order val="0"/>
          <tx>
            <strRef>
              <f>'F3_ESALES'!B4</f>
            </strRef>
          </tx>
          <spPr>
            <a:solidFill xmlns:a="http://schemas.openxmlformats.org/drawingml/2006/main">
              <a:srgbClr val="2E6DB4"/>
            </a:solidFill>
            <a:ln xmlns:a="http://schemas.openxmlformats.org/drawingml/2006/main">
              <a:noFill/>
              <a:prstDash val="solid"/>
            </a:ln>
          </spPr>
          <cat>
            <numRef>
              <f>'F3_ESALES'!$A$5:$A$6</f>
            </numRef>
          </cat>
          <val>
            <numRef>
              <f>'F3_ESALES'!$B$5:$B$6</f>
            </numRef>
          </val>
        </ser>
        <ser>
          <idx val="1"/>
          <order val="1"/>
          <tx>
            <strRef>
              <f>'F3_ESALES'!C4</f>
            </strRef>
          </tx>
          <spPr>
            <a:solidFill xmlns:a="http://schemas.openxmlformats.org/drawingml/2006/main">
              <a:srgbClr val="8F8F8F"/>
            </a:solidFill>
            <a:ln xmlns:a="http://schemas.openxmlformats.org/drawingml/2006/main">
              <a:noFill/>
              <a:prstDash val="solid"/>
            </a:ln>
          </spPr>
          <cat>
            <numRef>
              <f>'F3_ESALES'!$A$5:$A$6</f>
            </numRef>
          </cat>
          <val>
            <numRef>
              <f>'F3_ESALES'!$C$5:$C$6</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turnover</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5.xml><?xml version="1.0" encoding="utf-8"?>
<chartSpace xmlns="http://schemas.openxmlformats.org/drawingml/2006/chart">
  <chart>
    <plotArea>
      <barChart>
        <barDir val="bar"/>
        <grouping val="clustered"/>
        <ser>
          <idx val="0"/>
          <order val="0"/>
          <tx>
            <strRef>
              <f>'F4_EXCLUSION'!B4</f>
            </strRef>
          </tx>
          <spPr>
            <a:solidFill xmlns:a="http://schemas.openxmlformats.org/drawingml/2006/main">
              <a:srgbClr val="2E6DB4"/>
            </a:solidFill>
            <a:ln xmlns:a="http://schemas.openxmlformats.org/drawingml/2006/main">
              <a:noFill/>
              <a:prstDash val="solid"/>
            </a:ln>
          </spPr>
          <cat>
            <numRef>
              <f>'F4_EXCLUSION'!$A$5:$A$10</f>
            </numRef>
          </cat>
          <val>
            <numRef>
              <f>'F4_EXCLUSION'!$B$5:$B$10</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population</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6.xml><?xml version="1.0" encoding="utf-8"?>
<chartSpace xmlns="http://schemas.openxmlformats.org/drawingml/2006/chart">
  <chart>
    <plotArea>
      <barChart>
        <barDir val="bar"/>
        <grouping val="clustered"/>
        <ser>
          <idx val="0"/>
          <order val="0"/>
          <tx>
            <strRef>
              <f>'F5_EU27'!B4</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dPt>
            <idx val="3"/>
            <spPr>
              <a:solidFill xmlns:a="http://schemas.openxmlformats.org/drawingml/2006/main">
                <a:srgbClr val="8F8F8F"/>
              </a:solidFill>
              <a:ln xmlns:a="http://schemas.openxmlformats.org/drawingml/2006/main">
                <a:noFill/>
                <a:prstDash val="solid"/>
              </a:ln>
            </spPr>
          </dPt>
          <dPt>
            <idx val="4"/>
            <spPr>
              <a:solidFill xmlns:a="http://schemas.openxmlformats.org/drawingml/2006/main">
                <a:srgbClr val="8F8F8F"/>
              </a:solidFill>
              <a:ln xmlns:a="http://schemas.openxmlformats.org/drawingml/2006/main">
                <a:noFill/>
                <a:prstDash val="solid"/>
              </a:ln>
            </spPr>
          </dPt>
          <dPt>
            <idx val="5"/>
            <spPr>
              <a:solidFill xmlns:a="http://schemas.openxmlformats.org/drawingml/2006/main">
                <a:srgbClr val="8F8F8F"/>
              </a:solidFill>
              <a:ln xmlns:a="http://schemas.openxmlformats.org/drawingml/2006/main">
                <a:noFill/>
                <a:prstDash val="solid"/>
              </a:ln>
            </spPr>
          </dPt>
          <dPt>
            <idx val="6"/>
            <spPr>
              <a:solidFill xmlns:a="http://schemas.openxmlformats.org/drawingml/2006/main">
                <a:srgbClr val="8F8F8F"/>
              </a:solidFill>
              <a:ln xmlns:a="http://schemas.openxmlformats.org/drawingml/2006/main">
                <a:noFill/>
                <a:prstDash val="solid"/>
              </a:ln>
            </spPr>
          </dPt>
          <dPt>
            <idx val="7"/>
            <spPr>
              <a:solidFill xmlns:a="http://schemas.openxmlformats.org/drawingml/2006/main">
                <a:srgbClr val="8F8F8F"/>
              </a:solidFill>
              <a:ln xmlns:a="http://schemas.openxmlformats.org/drawingml/2006/main">
                <a:noFill/>
                <a:prstDash val="solid"/>
              </a:ln>
            </spPr>
          </dPt>
          <dPt>
            <idx val="8"/>
            <spPr>
              <a:solidFill xmlns:a="http://schemas.openxmlformats.org/drawingml/2006/main">
                <a:srgbClr val="8F8F8F"/>
              </a:solidFill>
              <a:ln xmlns:a="http://schemas.openxmlformats.org/drawingml/2006/main">
                <a:noFill/>
                <a:prstDash val="solid"/>
              </a:ln>
            </spPr>
          </dPt>
          <dPt>
            <idx val="9"/>
            <spPr>
              <a:solidFill xmlns:a="http://schemas.openxmlformats.org/drawingml/2006/main">
                <a:srgbClr val="8F8F8F"/>
              </a:solidFill>
              <a:ln xmlns:a="http://schemas.openxmlformats.org/drawingml/2006/main">
                <a:noFill/>
                <a:prstDash val="solid"/>
              </a:ln>
            </spPr>
          </dPt>
          <dPt>
            <idx val="10"/>
            <spPr>
              <a:solidFill xmlns:a="http://schemas.openxmlformats.org/drawingml/2006/main">
                <a:srgbClr val="8F8F8F"/>
              </a:solidFill>
              <a:ln xmlns:a="http://schemas.openxmlformats.org/drawingml/2006/main">
                <a:noFill/>
                <a:prstDash val="solid"/>
              </a:ln>
            </spPr>
          </dPt>
          <dPt>
            <idx val="11"/>
            <spPr>
              <a:solidFill xmlns:a="http://schemas.openxmlformats.org/drawingml/2006/main">
                <a:srgbClr val="8F8F8F"/>
              </a:solidFill>
              <a:ln xmlns:a="http://schemas.openxmlformats.org/drawingml/2006/main">
                <a:noFill/>
                <a:prstDash val="solid"/>
              </a:ln>
            </spPr>
          </dPt>
          <dPt>
            <idx val="12"/>
            <spPr>
              <a:solidFill xmlns:a="http://schemas.openxmlformats.org/drawingml/2006/main">
                <a:srgbClr val="8F8F8F"/>
              </a:solidFill>
              <a:ln xmlns:a="http://schemas.openxmlformats.org/drawingml/2006/main">
                <a:noFill/>
                <a:prstDash val="solid"/>
              </a:ln>
            </spPr>
          </dPt>
          <dPt>
            <idx val="13"/>
            <spPr>
              <a:solidFill xmlns:a="http://schemas.openxmlformats.org/drawingml/2006/main">
                <a:srgbClr val="1F3A5F"/>
              </a:solidFill>
              <a:ln xmlns:a="http://schemas.openxmlformats.org/drawingml/2006/main">
                <a:noFill/>
                <a:prstDash val="solid"/>
              </a:ln>
            </spPr>
          </dPt>
          <dPt>
            <idx val="14"/>
            <spPr>
              <a:solidFill xmlns:a="http://schemas.openxmlformats.org/drawingml/2006/main">
                <a:srgbClr val="8F8F8F"/>
              </a:solidFill>
              <a:ln xmlns:a="http://schemas.openxmlformats.org/drawingml/2006/main">
                <a:noFill/>
                <a:prstDash val="solid"/>
              </a:ln>
            </spPr>
          </dPt>
          <dPt>
            <idx val="15"/>
            <spPr>
              <a:solidFill xmlns:a="http://schemas.openxmlformats.org/drawingml/2006/main">
                <a:srgbClr val="8F8F8F"/>
              </a:solidFill>
              <a:ln xmlns:a="http://schemas.openxmlformats.org/drawingml/2006/main">
                <a:noFill/>
                <a:prstDash val="solid"/>
              </a:ln>
            </spPr>
          </dPt>
          <dPt>
            <idx val="16"/>
            <spPr>
              <a:solidFill xmlns:a="http://schemas.openxmlformats.org/drawingml/2006/main">
                <a:srgbClr val="8F8F8F"/>
              </a:solidFill>
              <a:ln xmlns:a="http://schemas.openxmlformats.org/drawingml/2006/main">
                <a:noFill/>
                <a:prstDash val="solid"/>
              </a:ln>
            </spPr>
          </dPt>
          <dPt>
            <idx val="17"/>
            <spPr>
              <a:solidFill xmlns:a="http://schemas.openxmlformats.org/drawingml/2006/main">
                <a:srgbClr val="8F8F8F"/>
              </a:solidFill>
              <a:ln xmlns:a="http://schemas.openxmlformats.org/drawingml/2006/main">
                <a:noFill/>
                <a:prstDash val="solid"/>
              </a:ln>
            </spPr>
          </dPt>
          <dPt>
            <idx val="18"/>
            <spPr>
              <a:solidFill xmlns:a="http://schemas.openxmlformats.org/drawingml/2006/main">
                <a:srgbClr val="8F8F8F"/>
              </a:solidFill>
              <a:ln xmlns:a="http://schemas.openxmlformats.org/drawingml/2006/main">
                <a:noFill/>
                <a:prstDash val="solid"/>
              </a:ln>
            </spPr>
          </dPt>
          <dPt>
            <idx val="19"/>
            <spPr>
              <a:solidFill xmlns:a="http://schemas.openxmlformats.org/drawingml/2006/main">
                <a:srgbClr val="8F8F8F"/>
              </a:solidFill>
              <a:ln xmlns:a="http://schemas.openxmlformats.org/drawingml/2006/main">
                <a:noFill/>
                <a:prstDash val="solid"/>
              </a:ln>
            </spPr>
          </dPt>
          <dPt>
            <idx val="20"/>
            <spPr>
              <a:solidFill xmlns:a="http://schemas.openxmlformats.org/drawingml/2006/main">
                <a:srgbClr val="8F8F8F"/>
              </a:solidFill>
              <a:ln xmlns:a="http://schemas.openxmlformats.org/drawingml/2006/main">
                <a:noFill/>
                <a:prstDash val="solid"/>
              </a:ln>
            </spPr>
          </dPt>
          <dPt>
            <idx val="21"/>
            <spPr>
              <a:solidFill xmlns:a="http://schemas.openxmlformats.org/drawingml/2006/main">
                <a:srgbClr val="8F8F8F"/>
              </a:solidFill>
              <a:ln xmlns:a="http://schemas.openxmlformats.org/drawingml/2006/main">
                <a:noFill/>
                <a:prstDash val="solid"/>
              </a:ln>
            </spPr>
          </dPt>
          <dPt>
            <idx val="22"/>
            <spPr>
              <a:solidFill xmlns:a="http://schemas.openxmlformats.org/drawingml/2006/main">
                <a:srgbClr val="8F8F8F"/>
              </a:solidFill>
              <a:ln xmlns:a="http://schemas.openxmlformats.org/drawingml/2006/main">
                <a:noFill/>
                <a:prstDash val="solid"/>
              </a:ln>
            </spPr>
          </dPt>
          <dPt>
            <idx val="23"/>
            <spPr>
              <a:solidFill xmlns:a="http://schemas.openxmlformats.org/drawingml/2006/main">
                <a:srgbClr val="8F8F8F"/>
              </a:solidFill>
              <a:ln xmlns:a="http://schemas.openxmlformats.org/drawingml/2006/main">
                <a:noFill/>
                <a:prstDash val="solid"/>
              </a:ln>
            </spPr>
          </dPt>
          <dPt>
            <idx val="24"/>
            <spPr>
              <a:solidFill xmlns:a="http://schemas.openxmlformats.org/drawingml/2006/main">
                <a:srgbClr val="8F8F8F"/>
              </a:solidFill>
              <a:ln xmlns:a="http://schemas.openxmlformats.org/drawingml/2006/main">
                <a:noFill/>
                <a:prstDash val="solid"/>
              </a:ln>
            </spPr>
          </dPt>
          <dPt>
            <idx val="25"/>
            <spPr>
              <a:solidFill xmlns:a="http://schemas.openxmlformats.org/drawingml/2006/main">
                <a:srgbClr val="8F8F8F"/>
              </a:solidFill>
              <a:ln xmlns:a="http://schemas.openxmlformats.org/drawingml/2006/main">
                <a:noFill/>
                <a:prstDash val="solid"/>
              </a:ln>
            </spPr>
          </dPt>
          <dPt>
            <idx val="26"/>
            <spPr>
              <a:solidFill xmlns:a="http://schemas.openxmlformats.org/drawingml/2006/main">
                <a:srgbClr val="8F8F8F"/>
              </a:solidFill>
              <a:ln xmlns:a="http://schemas.openxmlformats.org/drawingml/2006/main">
                <a:noFill/>
                <a:prstDash val="solid"/>
              </a:ln>
            </spPr>
          </dPt>
          <dPt>
            <idx val="27"/>
            <spPr>
              <a:solidFill xmlns:a="http://schemas.openxmlformats.org/drawingml/2006/main">
                <a:srgbClr val="8F8F8F"/>
              </a:solidFill>
              <a:ln xmlns:a="http://schemas.openxmlformats.org/drawingml/2006/main">
                <a:noFill/>
                <a:prstDash val="solid"/>
              </a:ln>
            </spPr>
          </dPt>
          <cat>
            <numRef>
              <f>'F5_EU27'!$A$5:$A$32</f>
            </numRef>
          </cat>
          <val>
            <numRef>
              <f>'F5_EU27'!$B$5:$B$32</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internet users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7.xml><?xml version="1.0" encoding="utf-8"?>
<chartSpace xmlns="http://schemas.openxmlformats.org/drawingml/2006/chart">
  <chart>
    <plotArea>
      <scatterChart>
        <ser>
          <idx val="0"/>
          <order val="0"/>
          <tx>
            <strRef>
              <f>'F6_ADOPT_BENEFIT'!D4</f>
            </strRef>
          </tx>
          <spPr>
            <a:ln xmlns:a="http://schemas.openxmlformats.org/drawingml/2006/main">
              <a:noFill/>
              <a:prstDash val="solid"/>
            </a:ln>
          </spPr>
          <marker>
            <symbol val="circle"/>
            <size val="9"/>
            <spPr>
              <a:solidFill xmlns:a="http://schemas.openxmlformats.org/drawingml/2006/main">
                <a:srgbClr val="2E6DB4"/>
              </a:solidFill>
              <a:ln xmlns:a="http://schemas.openxmlformats.org/drawingml/2006/main">
                <a:noFill/>
                <a:prstDash val="solid"/>
              </a:ln>
            </spPr>
          </marker>
          <trendline>
            <spPr>
              <a:ln xmlns:a="http://schemas.openxmlformats.org/drawingml/2006/mai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xmlns:a="http://schemas.openxmlformats.org/drawingml/2006/main"/>
              <a:p xmlns:a="http://schemas.openxmlformats.org/drawingml/2006/main">
                <a:pPr>
                  <a:defRPr/>
                </a:pPr>
                <a:r>
                  <a:t>Individuals who bought online (% of internet users)</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E-sales as % of enterprise turnover</a:t>
                </a:r>
              </a:p>
            </rich>
          </tx>
        </title>
        <majorTickMark val="none"/>
        <minorTickMark val="none"/>
        <spPr>
          <a:ln xmlns:a="http://schemas.openxmlformats.org/drawingml/2006/main">
            <a:noFill/>
            <a:prstDash val="solid"/>
          </a:ln>
        </spPr>
        <crossAx val="10"/>
      </valAx>
    </plotArea>
    <plotVisOnly val="1"/>
    <dispBlanksAs val="gap"/>
  </chart>
</chartSpace>
</file>

<file path=xl/charts/chart8.xml><?xml version="1.0" encoding="utf-8"?>
<chartSpace xmlns="http://schemas.openxmlformats.org/drawingml/2006/chart">
  <chart>
    <plotArea>
      <barChart>
        <barDir val="bar"/>
        <grouping val="clustered"/>
        <ser>
          <idx val="0"/>
          <order val="0"/>
          <tx>
            <strRef>
              <f>'F7_QUALITY'!B4</f>
            </strRef>
          </tx>
          <spPr>
            <a:solidFill xmlns:a="http://schemas.openxmlformats.org/drawingml/2006/main">
              <a:srgbClr val="2E6DB4"/>
            </a:solidFill>
            <a:ln xmlns:a="http://schemas.openxmlformats.org/drawingml/2006/main">
              <a:noFill/>
              <a:prstDash val="solid"/>
            </a:ln>
          </spPr>
          <cat>
            <numRef>
              <f>'F7_QUALITY'!$A$5:$A$8</f>
            </numRef>
          </cat>
          <val>
            <numRef>
              <f>'F7_QUALITY'!$B$5:$B$8</f>
            </numRef>
          </val>
        </ser>
        <ser>
          <idx val="1"/>
          <order val="1"/>
          <tx>
            <strRef>
              <f>'F7_QUALITY'!C4</f>
            </strRef>
          </tx>
          <spPr>
            <a:solidFill xmlns:a="http://schemas.openxmlformats.org/drawingml/2006/main">
              <a:srgbClr val="8F8F8F"/>
            </a:solidFill>
            <a:ln xmlns:a="http://schemas.openxmlformats.org/drawingml/2006/main">
              <a:noFill/>
              <a:prstDash val="solid"/>
            </a:ln>
          </spPr>
          <cat>
            <numRef>
              <f>'F7_QUALITY'!$A$5:$A$8</f>
            </numRef>
          </cat>
          <val>
            <numRef>
              <f>'F7_QUALITY'!$C$5:$C$8</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 or benchmark score</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plotArea>
      <barChart>
        <barDir val="col"/>
        <grouping val="clustered"/>
        <ser>
          <idx val="0"/>
          <order val="0"/>
          <tx>
            <strRef>
              <f>'F7_QUALITY'!B17</f>
            </strRef>
          </tx>
          <spPr>
            <a:solidFill xmlns:a="http://schemas.openxmlformats.org/drawingml/2006/main">
              <a:srgbClr val="2E6DB4"/>
            </a:solidFill>
            <a:ln xmlns:a="http://schemas.openxmlformats.org/drawingml/2006/main">
              <a:noFill/>
              <a:prstDash val="solid"/>
            </a:ln>
          </spPr>
          <dPt>
            <idx val="0"/>
            <spPr>
              <a:solidFill xmlns:a="http://schemas.openxmlformats.org/drawingml/2006/main">
                <a:srgbClr val="8F8F8F"/>
              </a:solidFill>
              <a:ln xmlns:a="http://schemas.openxmlformats.org/drawingml/2006/main">
                <a:prstDash val="solid"/>
              </a:ln>
            </spPr>
          </dPt>
          <cat>
            <numRef>
              <f>'F7_QUALITY'!$A$18:$A$20</f>
            </numRef>
          </cat>
          <val>
            <numRef>
              <f>'F7_QUALITY'!$B$18:$B$20</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enterprises</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0.xml><?xml version="1.0" encoding="utf-8"?>
<chartSpace xmlns="http://schemas.openxmlformats.org/drawingml/2006/chart">
  <chart>
    <plotArea>
      <barChart>
        <barDir val="bar"/>
        <grouping val="clustered"/>
        <ser>
          <idx val="0"/>
          <order val="0"/>
          <tx>
            <strRef>
              <f>'F8_SMVDIGITAL'!B4</f>
            </strRef>
          </tx>
          <spPr>
            <a:solidFill xmlns:a="http://schemas.openxmlformats.org/drawingml/2006/main">
              <a:srgbClr val="2E6DB4"/>
            </a:solidFill>
            <a:ln xmlns:a="http://schemas.openxmlformats.org/drawingml/2006/main">
              <a:noFill/>
              <a:prstDash val="solid"/>
            </a:ln>
          </spPr>
          <cat>
            <numRef>
              <f>'F8_SMVDIGITAL'!$A$5:$A$6</f>
            </numRef>
          </cat>
          <val>
            <numRef>
              <f>'F8_SMVDIGITAL'!$B$5:$B$6</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participating enterprises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1.xml><?xml version="1.0" encoding="utf-8"?>
<chartSpace xmlns="http://schemas.openxmlformats.org/drawingml/2006/chart">
  <chart>
    <plotArea>
      <barChart>
        <barDir val="bar"/>
        <grouping val="clustered"/>
        <ser>
          <idx val="0"/>
          <order val="0"/>
          <tx>
            <strRef>
              <f>'F9_CONSOLIDATION'!H4</f>
            </strRef>
          </tx>
          <spPr>
            <a:solidFill xmlns:a="http://schemas.openxmlformats.org/drawingml/2006/main">
              <a:srgbClr val="1F3A5F"/>
            </a:solidFill>
            <a:ln xmlns:a="http://schemas.openxmlformats.org/drawingml/2006/main">
              <a:noFill/>
              <a:prstDash val="solid"/>
            </a:ln>
          </spPr>
          <dPt>
            <idx val="0"/>
            <spPr>
              <a:solidFill xmlns:a="http://schemas.openxmlformats.org/drawingml/2006/main">
                <a:srgbClr val="1F3A5F"/>
              </a:solidFill>
              <a:ln xmlns:a="http://schemas.openxmlformats.org/drawingml/2006/main">
                <a:noFill/>
                <a:prstDash val="solid"/>
              </a:ln>
            </spPr>
          </dPt>
          <dPt>
            <idx val="1"/>
            <spPr>
              <a:solidFill xmlns:a="http://schemas.openxmlformats.org/drawingml/2006/main">
                <a:srgbClr val="1F3A5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'F9_CONSOLIDATION'!$G$5:$G$7</f>
            </numRef>
          </cat>
          <val>
            <numRef>
              <f>'F9_CONSOLIDATION'!$H$5:$H$7</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Change over the stated period</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2.xml><?xml version="1.0" encoding="utf-8"?>
<chartSpace xmlns="http://schemas.openxmlformats.org/drawingml/2006/chart">
  <chart>
    <plotArea>
      <barChart>
        <barDir val="col"/>
        <grouping val="clustered"/>
        <ser>
          <idx val="0"/>
          <order val="0"/>
          <tx>
            <strRef>
              <f>'F10_SKILLS'!B4</f>
            </strRef>
          </tx>
          <spPr>
            <a:solidFill xmlns:a="http://schemas.openxmlformats.org/drawingml/2006/main">
              <a:srgbClr val="2E6DB4"/>
            </a:solidFill>
            <a:ln xmlns:a="http://schemas.openxmlformats.org/drawingml/2006/main">
              <a:noFill/>
              <a:prstDash val="solid"/>
            </a:ln>
          </spPr>
          <cat>
            <numRef>
              <f>'F10_SKILLS'!$A$5:$A$7</f>
            </numRef>
          </cat>
          <val>
            <numRef>
              <f>'F10_SKILLS'!$B$5:$B$7</f>
            </numRef>
          </val>
        </ser>
        <ser>
          <idx val="1"/>
          <order val="1"/>
          <tx>
            <strRef>
              <f>'F10_SKILLS'!C4</f>
            </strRef>
          </tx>
          <spPr>
            <a:solidFill xmlns:a="http://schemas.openxmlformats.org/drawingml/2006/main">
              <a:srgbClr val="8F8F8F"/>
            </a:solidFill>
            <a:ln xmlns:a="http://schemas.openxmlformats.org/drawingml/2006/main">
              <a:noFill/>
              <a:prstDash val="solid"/>
            </a:ln>
          </spPr>
          <cat>
            <numRef>
              <f>'F10_SKILLS'!$A$5:$A$7</f>
            </numRef>
          </cat>
          <val>
            <numRef>
              <f>'F10_SKILLS'!$C$5:$C$7</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Age band</a:t>
                </a:r>
              </a:p>
            </rich>
          </tx>
        </title>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age group</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3.xml><?xml version="1.0" encoding="utf-8"?>
<chartSpace xmlns="http://schemas.openxmlformats.org/drawingml/2006/chart">
  <chart>
    <plotArea>
      <barChart>
        <barDir val="col"/>
        <grouping val="clustered"/>
        <ser>
          <idx val="0"/>
          <order val="0"/>
          <tx>
            <strRef>
              <f>'F11_EWASTE'!B4</f>
            </strRef>
          </tx>
          <spPr>
            <a:solidFill xmlns:a="http://schemas.openxmlformats.org/drawingml/2006/main">
              <a:srgbClr val="2E6DB4"/>
            </a:solidFill>
            <a:ln xmlns:a="http://schemas.openxmlformats.org/drawingml/2006/main">
              <a:noFill/>
              <a:prstDash val="solid"/>
            </a:ln>
          </spPr>
          <cat>
            <numRef>
              <f>'F11_EWASTE'!$A$5:$A$6</f>
            </numRef>
          </cat>
          <val>
            <numRef>
              <f>'F11_EWASTE'!$B$5:$B$6</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ICT waste collected</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_rels/drawing9.xml.rels><Relationships xmlns="http://schemas.openxmlformats.org/package/2006/relationships"><Relationship Type="http://schemas.openxmlformats.org/officeDocument/2006/relationships/chart" Target="/xl/charts/chart11.xml" Id="rId1"/></Relationships>
</file>

<file path=xl/drawings/_rels/drawing10.xml.rels><Relationships xmlns="http://schemas.openxmlformats.org/package/2006/relationships"><Relationship Type="http://schemas.openxmlformats.org/officeDocument/2006/relationships/chart" Target="/xl/charts/chart12.xml" Id="rId1"/></Relationships>
</file>

<file path=xl/drawings/_rels/drawing11.xml.rels><Relationships xmlns="http://schemas.openxmlformats.org/package/2006/relationships"><Relationship Type="http://schemas.openxmlformats.org/officeDocument/2006/relationships/chart" Target="/xl/charts/chart13.xml" Id="rId1"/></Relationships>
</file>

<file path=xl/drawings/drawing1.xml><?xml version="1.0" encoding="utf-8"?>
<wsDr xmlns="http://schemas.openxmlformats.org/drawingml/2006/spreadsheetDrawing">
  <oneCellAnchor>
    <from>
      <col>3</col>
      <colOff>0</colOff>
      <row>3</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4</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3</row>
      <rowOff>0</rowOff>
    </from>
    <ext cx="612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26</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4</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9</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4</col>
      <colOff>0</colOff>
      <row>3</row>
      <rowOff>0</rowOff>
    </from>
    <ext cx="43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_rels/sheet17.xml.rels><Relationships xmlns="http://schemas.openxmlformats.org/package/2006/relationships"><Relationship Type="http://schemas.openxmlformats.org/officeDocument/2006/relationships/drawing" Target="/xl/drawings/drawing11.xml" Id="rId1"/></Relationships>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2026-09-14</t>
        </is>
      </c>
    </row>
    <row r="10">
      <c r="A10" s="3" t="inlineStr">
        <is>
          <t>Observations</t>
        </is>
      </c>
      <c r="B10" s="4" t="inlineStr">
        <is>
          <t>136</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2026-09-14.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F11_EWASTE</t>
        </is>
      </c>
      <c r="B34" s="6" t="inlineStr">
        <is>
          <t>Figure 11 - ICT waste recovery, DK vs EU-27</t>
        </is>
      </c>
    </row>
    <row r="35">
      <c r="A35" s="5" t="inlineStr">
        <is>
          <t>09_POLICY</t>
        </is>
      </c>
      <c r="B35" s="6" t="inlineStr">
        <is>
          <t>Policy events - dated instruments with legal citations</t>
        </is>
      </c>
    </row>
    <row r="36">
      <c r="A36" s="5" t="inlineStr">
        <is>
          <t>06_RETAIL_GAP</t>
        </is>
      </c>
      <c r="B36" s="6" t="inlineStr">
        <is>
          <t>Documented gap - retail volume index not retrieved</t>
        </is>
      </c>
    </row>
    <row r="37">
      <c r="A37" s="5" t="inlineStr">
        <is>
          <t>07_LIMITATIONS</t>
        </is>
      </c>
      <c r="B37" s="6" t="inlineStr">
        <is>
          <t>Data quality statement - read before citing</t>
        </is>
      </c>
    </row>
    <row r="38">
      <c r="A38" s="5" t="inlineStr">
        <is>
          <t>08_AI_LOG</t>
        </is>
      </c>
      <c r="B38"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DK.DGX.EGOV.USE</t>
        </is>
      </c>
      <c r="C2" s="15" t="inlineStr">
        <is>
          <t>Individuals interacting with public authorities online</t>
        </is>
      </c>
      <c r="D2" s="13" t="inlineStr">
        <is>
          <t>DK</t>
        </is>
      </c>
      <c r="E2" s="13" t="n">
        <v>2024</v>
      </c>
      <c r="F2" s="16" t="n">
        <v>98.5</v>
      </c>
      <c r="G2" s="13" t="inlineStr">
        <is>
          <t>%</t>
        </is>
      </c>
      <c r="H2" s="15" t="inlineStr">
        <is>
          <t>individuals aged 16 to 74</t>
        </is>
      </c>
      <c r="I2" s="13" t="inlineStr"/>
      <c r="J2" s="14" t="inlineStr">
        <is>
          <t>ES9</t>
        </is>
      </c>
      <c r="K2" s="13" t="inlineStr">
        <is>
          <t>2026-09-12</t>
        </is>
      </c>
      <c r="L2" s="15" t="inlineStr">
        <is>
          <t>Website or app of a public authority, last 12 months. Highest in EU-27.</t>
        </is>
      </c>
    </row>
    <row r="3">
      <c r="A3" s="13" t="n">
        <v>2</v>
      </c>
      <c r="B3" s="14" t="inlineStr">
        <is>
          <t>EU.DGX.EGOV.USE</t>
        </is>
      </c>
      <c r="C3" s="15" t="inlineStr">
        <is>
          <t>Individuals interacting with public authorities online</t>
        </is>
      </c>
      <c r="D3" s="13" t="inlineStr">
        <is>
          <t>EU27</t>
        </is>
      </c>
      <c r="E3" s="13" t="n">
        <v>2024</v>
      </c>
      <c r="F3" s="16" t="n">
        <v>70</v>
      </c>
      <c r="G3" s="13" t="inlineStr">
        <is>
          <t>%</t>
        </is>
      </c>
      <c r="H3" s="15" t="inlineStr">
        <is>
          <t>individuals aged 16 to 74</t>
        </is>
      </c>
      <c r="I3" s="13" t="inlineStr"/>
      <c r="J3" s="14" t="inlineStr">
        <is>
          <t>ES9</t>
        </is>
      </c>
      <c r="K3" s="13" t="inlineStr">
        <is>
          <t>2026-09-12</t>
        </is>
      </c>
      <c r="L3" s="15" t="inlineStr">
        <is>
          <t>EU-27 aggregate, same base and reference period as the Danish value.</t>
        </is>
      </c>
    </row>
    <row r="4">
      <c r="A4" s="13" t="n">
        <v>3</v>
      </c>
      <c r="B4" s="14" t="inlineStr">
        <is>
          <t>DK.PAY.CASH.POS</t>
        </is>
      </c>
      <c r="C4" s="15" t="inlineStr">
        <is>
          <t>Cash share of payments, physical retail</t>
        </is>
      </c>
      <c r="D4" s="13" t="inlineStr">
        <is>
          <t>DK</t>
        </is>
      </c>
      <c r="E4" s="13" t="n">
        <v>2017</v>
      </c>
      <c r="F4" s="16" t="n">
        <v>23</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DK.PAY.CASH.POS</t>
        </is>
      </c>
      <c r="C5" s="15" t="inlineStr">
        <is>
          <t>Cash share of payments, physical retail</t>
        </is>
      </c>
      <c r="D5" s="13" t="inlineStr">
        <is>
          <t>DK</t>
        </is>
      </c>
      <c r="E5" s="13" t="n">
        <v>2023</v>
      </c>
      <c r="F5" s="16" t="n">
        <v>11</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DK.PAY.CASH.POS</t>
        </is>
      </c>
      <c r="C6" s="15" t="inlineStr">
        <is>
          <t>Cash share of payments, physical retail</t>
        </is>
      </c>
      <c r="D6" s="13" t="inlineStr">
        <is>
          <t>DK</t>
        </is>
      </c>
      <c r="E6" s="13" t="n">
        <v>2025</v>
      </c>
      <c r="F6" s="16" t="n">
        <v>9</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DK.PAY.CRD.PHYS</t>
        </is>
      </c>
      <c r="C7" s="15" t="inlineStr">
        <is>
          <t>Physical payment card share of payments</t>
        </is>
      </c>
      <c r="D7" s="13" t="inlineStr">
        <is>
          <t>DK</t>
        </is>
      </c>
      <c r="E7" s="13" t="n">
        <v>2017</v>
      </c>
      <c r="F7" s="16" t="n">
        <v>73</v>
      </c>
      <c r="G7" s="13" t="inlineStr">
        <is>
          <t>%</t>
        </is>
      </c>
      <c r="H7" s="15" t="inlineStr">
        <is>
          <t>share of number of payments in physical retail</t>
        </is>
      </c>
      <c r="I7" s="13" t="inlineStr"/>
      <c r="J7" s="14" t="inlineStr">
        <is>
          <t>NB1</t>
        </is>
      </c>
      <c r="K7" s="13" t="inlineStr">
        <is>
          <t>2026-09-12</t>
        </is>
      </c>
      <c r="L7" s="15" t="inlineStr"/>
    </row>
    <row r="8">
      <c r="A8" s="13" t="n">
        <v>7</v>
      </c>
      <c r="B8" s="14" t="inlineStr">
        <is>
          <t>DK.PAY.CRD.PHYS</t>
        </is>
      </c>
      <c r="C8" s="15" t="inlineStr">
        <is>
          <t>Physical payment card share of payments</t>
        </is>
      </c>
      <c r="D8" s="13" t="inlineStr">
        <is>
          <t>DK</t>
        </is>
      </c>
      <c r="E8" s="13" t="n">
        <v>2025</v>
      </c>
      <c r="F8" s="16" t="n">
        <v>54</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DK.PAY.WLT.SHR</t>
        </is>
      </c>
      <c r="C9" s="15" t="inlineStr">
        <is>
          <t>Mobile wallet share of payments</t>
        </is>
      </c>
      <c r="D9" s="13" t="inlineStr">
        <is>
          <t>DK</t>
        </is>
      </c>
      <c r="E9" s="13" t="n">
        <v>2025</v>
      </c>
      <c r="F9" s="16" t="n">
        <v>32</v>
      </c>
      <c r="G9" s="13" t="inlineStr">
        <is>
          <t>%</t>
        </is>
      </c>
      <c r="H9" s="15" t="inlineStr">
        <is>
          <t>share of number of payments in physical retail</t>
        </is>
      </c>
      <c r="I9" s="13" t="inlineStr"/>
      <c r="J9" s="14" t="inlineStr">
        <is>
          <t>NB1</t>
        </is>
      </c>
      <c r="K9" s="13" t="inlineStr">
        <is>
          <t>2026-09-12</t>
        </is>
      </c>
      <c r="L9" s="15" t="inlineStr">
        <is>
          <t>Card-based wallets on mobile phones (e.g. Apple Pay, Google Pay).</t>
        </is>
      </c>
    </row>
    <row r="10">
      <c r="A10" s="13" t="n">
        <v>9</v>
      </c>
      <c r="B10" s="14" t="inlineStr">
        <is>
          <t>DK.PAY.DIG.POS.NUM</t>
        </is>
      </c>
      <c r="C10" s="15" t="inlineStr">
        <is>
          <t>Digital share of payments, by number</t>
        </is>
      </c>
      <c r="D10" s="13" t="inlineStr">
        <is>
          <t>DK</t>
        </is>
      </c>
      <c r="E10" s="13" t="n">
        <v>2025</v>
      </c>
      <c r="F10" s="16" t="n">
        <v>91</v>
      </c>
      <c r="G10" s="13" t="inlineStr">
        <is>
          <t>%</t>
        </is>
      </c>
      <c r="H10" s="15" t="inlineStr">
        <is>
          <t>share of number of payments in physical retail</t>
        </is>
      </c>
      <c r="I10" s="13" t="inlineStr"/>
      <c r="J10" s="14" t="inlineStr">
        <is>
          <t>NB1</t>
        </is>
      </c>
      <c r="K10" s="13" t="inlineStr">
        <is>
          <t>2026-09-12</t>
        </is>
      </c>
      <c r="L10" s="15" t="inlineStr"/>
    </row>
    <row r="11">
      <c r="A11" s="13" t="n">
        <v>10</v>
      </c>
      <c r="B11" s="14" t="inlineStr">
        <is>
          <t>DK.PAY.DIG.POS.VAL</t>
        </is>
      </c>
      <c r="C11" s="15" t="inlineStr">
        <is>
          <t>Digital share of payments, by value</t>
        </is>
      </c>
      <c r="D11" s="13" t="inlineStr">
        <is>
          <t>DK</t>
        </is>
      </c>
      <c r="E11" s="13" t="n">
        <v>2025</v>
      </c>
      <c r="F11" s="16" t="n">
        <v>93</v>
      </c>
      <c r="G11" s="13" t="inlineStr">
        <is>
          <t>%</t>
        </is>
      </c>
      <c r="H11" s="15" t="inlineStr">
        <is>
          <t>share of value of payments in physical retail</t>
        </is>
      </c>
      <c r="I11" s="13" t="inlineStr"/>
      <c r="J11" s="14" t="inlineStr">
        <is>
          <t>NB1</t>
        </is>
      </c>
      <c r="K11" s="13" t="inlineStr">
        <is>
          <t>2026-09-12</t>
        </is>
      </c>
      <c r="L11" s="15" t="inlineStr">
        <is>
          <t>Different denominator from the by-number series - do not plot together.</t>
        </is>
      </c>
    </row>
    <row r="12">
      <c r="A12" s="13" t="n">
        <v>11</v>
      </c>
      <c r="B12" s="14" t="inlineStr">
        <is>
          <t>DK.PAY.WLT.OWN</t>
        </is>
      </c>
      <c r="C12" s="15" t="inlineStr">
        <is>
          <t>Citizens holding a mobile wallet solution</t>
        </is>
      </c>
      <c r="D12" s="13" t="inlineStr">
        <is>
          <t>DK</t>
        </is>
      </c>
      <c r="E12" s="13" t="n">
        <v>2019</v>
      </c>
      <c r="F12" s="16" t="n">
        <v>12</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DK.PAY.WLT.OWN</t>
        </is>
      </c>
      <c r="C13" s="15" t="inlineStr">
        <is>
          <t>Citizens holding a mobile wallet solution</t>
        </is>
      </c>
      <c r="D13" s="13" t="inlineStr">
        <is>
          <t>DK</t>
        </is>
      </c>
      <c r="E13" s="13" t="n">
        <v>2023</v>
      </c>
      <c r="F13" s="16" t="n">
        <v>41</v>
      </c>
      <c r="G13" s="13" t="inlineStr">
        <is>
          <t>%</t>
        </is>
      </c>
      <c r="H13" s="15" t="inlineStr">
        <is>
          <t>% of citizens</t>
        </is>
      </c>
      <c r="I13" s="13" t="inlineStr"/>
      <c r="J13" s="14" t="inlineStr">
        <is>
          <t>NB1</t>
        </is>
      </c>
      <c r="K13" s="13" t="inlineStr">
        <is>
          <t>2026-09-12</t>
        </is>
      </c>
      <c r="L13" s="15" t="inlineStr">
        <is>
          <t>Memo only - denominator differs from F2 series.</t>
        </is>
      </c>
    </row>
    <row r="14">
      <c r="A14" s="13" t="n">
        <v>13</v>
      </c>
      <c r="B14" s="14" t="inlineStr">
        <is>
          <t>DK.PAY.WLT.OWN</t>
        </is>
      </c>
      <c r="C14" s="15" t="inlineStr">
        <is>
          <t>Citizens holding a mobile wallet solution</t>
        </is>
      </c>
      <c r="D14" s="13" t="inlineStr">
        <is>
          <t>DK</t>
        </is>
      </c>
      <c r="E14" s="13" t="n">
        <v>2025</v>
      </c>
      <c r="F14" s="16" t="n">
        <v>51</v>
      </c>
      <c r="G14" s="13" t="inlineStr">
        <is>
          <t>%</t>
        </is>
      </c>
      <c r="H14" s="15" t="inlineStr">
        <is>
          <t>% of citizens</t>
        </is>
      </c>
      <c r="I14" s="13" t="inlineStr"/>
      <c r="J14" s="14" t="inlineStr">
        <is>
          <t>NB1</t>
        </is>
      </c>
      <c r="K14" s="13" t="inlineStr">
        <is>
          <t>2026-09-12</t>
        </is>
      </c>
      <c r="L14" s="15" t="inlineStr">
        <is>
          <t>Memo only - denominator differs from F2 series.</t>
        </is>
      </c>
    </row>
    <row r="15">
      <c r="A15" s="13" t="n">
        <v>14</v>
      </c>
      <c r="B15" s="14" t="inlineStr">
        <is>
          <t>DK.FIN.BRCH</t>
        </is>
      </c>
      <c r="C15" s="15" t="inlineStr">
        <is>
          <t>Bank branches</t>
        </is>
      </c>
      <c r="D15" s="13" t="inlineStr">
        <is>
          <t>DK</t>
        </is>
      </c>
      <c r="E15" s="13" t="n">
        <v>2004</v>
      </c>
      <c r="F15" s="17" t="n">
        <v>2025</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2006</v>
      </c>
      <c r="F16" s="17" t="n">
        <v>1975</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2010</v>
      </c>
      <c r="F17" s="17" t="n">
        <v>1598</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2016</v>
      </c>
      <c r="F18" s="17" t="n">
        <v>948</v>
      </c>
      <c r="G18" s="13" t="inlineStr">
        <is>
          <t>count</t>
        </is>
      </c>
      <c r="H18" s="15" t="inlineStr">
        <is>
          <t>branches</t>
        </is>
      </c>
      <c r="I18" s="13" t="inlineStr"/>
      <c r="J18" s="14" t="inlineStr">
        <is>
          <t>FD1</t>
        </is>
      </c>
      <c r="K18" s="13" t="inlineStr">
        <is>
          <t>2026-09-12</t>
        </is>
      </c>
      <c r="L18" s="15" t="inlineStr"/>
    </row>
    <row r="19">
      <c r="A19" s="13" t="n">
        <v>18</v>
      </c>
      <c r="B19" s="14" t="inlineStr">
        <is>
          <t>DK.FIN.BRCH</t>
        </is>
      </c>
      <c r="C19" s="15" t="inlineStr">
        <is>
          <t>Bank branches</t>
        </is>
      </c>
      <c r="D19" s="13" t="inlineStr">
        <is>
          <t>DK</t>
        </is>
      </c>
      <c r="E19" s="13" t="n">
        <v>2021</v>
      </c>
      <c r="F19" s="17" t="n">
        <v>701</v>
      </c>
      <c r="G19" s="13" t="inlineStr">
        <is>
          <t>count</t>
        </is>
      </c>
      <c r="H19" s="15" t="inlineStr">
        <is>
          <t>branches</t>
        </is>
      </c>
      <c r="I19" s="13" t="inlineStr"/>
      <c r="J19" s="14" t="inlineStr">
        <is>
          <t>FD1</t>
        </is>
      </c>
      <c r="K19" s="13" t="inlineStr">
        <is>
          <t>2026-09-12</t>
        </is>
      </c>
      <c r="L19" s="15" t="inlineStr"/>
    </row>
    <row r="20">
      <c r="A20" s="13" t="n">
        <v>19</v>
      </c>
      <c r="B20" s="14" t="inlineStr">
        <is>
          <t>DK.FIN.BRCH</t>
        </is>
      </c>
      <c r="C20" s="15" t="inlineStr">
        <is>
          <t>Bank branches</t>
        </is>
      </c>
      <c r="D20" s="13" t="inlineStr">
        <is>
          <t>DK</t>
        </is>
      </c>
      <c r="E20" s="13" t="n">
        <v>2024</v>
      </c>
      <c r="F20" s="17" t="n">
        <v>665</v>
      </c>
      <c r="G20" s="13" t="inlineStr">
        <is>
          <t>count</t>
        </is>
      </c>
      <c r="H20" s="15" t="inlineStr">
        <is>
          <t>branches</t>
        </is>
      </c>
      <c r="I20" s="13" t="inlineStr"/>
      <c r="J20" s="14" t="inlineStr">
        <is>
          <t>FD1</t>
        </is>
      </c>
      <c r="K20" s="13" t="inlineStr">
        <is>
          <t>2026-09-12</t>
        </is>
      </c>
      <c r="L20" s="15" t="inlineStr"/>
    </row>
    <row r="21">
      <c r="A21" s="13" t="n">
        <v>20</v>
      </c>
      <c r="B21" s="14" t="inlineStr">
        <is>
          <t>DK.FIN.INST</t>
        </is>
      </c>
      <c r="C21" s="15" t="inlineStr">
        <is>
          <t>Financial institutions</t>
        </is>
      </c>
      <c r="D21" s="13" t="inlineStr">
        <is>
          <t>DK</t>
        </is>
      </c>
      <c r="E21" s="13" t="n">
        <v>1991</v>
      </c>
      <c r="F21" s="17" t="n">
        <v>219</v>
      </c>
      <c r="G21" s="13" t="inlineStr">
        <is>
          <t>count</t>
        </is>
      </c>
      <c r="H21" s="15" t="inlineStr">
        <is>
          <t>institutions</t>
        </is>
      </c>
      <c r="I21" s="13" t="inlineStr"/>
      <c r="J21" s="14" t="inlineStr">
        <is>
          <t>FD1</t>
        </is>
      </c>
      <c r="K21" s="13" t="inlineStr">
        <is>
          <t>2026-09-12</t>
        </is>
      </c>
      <c r="L21" s="15" t="inlineStr"/>
    </row>
    <row r="22">
      <c r="A22" s="13" t="n">
        <v>21</v>
      </c>
      <c r="B22" s="14" t="inlineStr">
        <is>
          <t>DK.FIN.INST</t>
        </is>
      </c>
      <c r="C22" s="15" t="inlineStr">
        <is>
          <t>Financial institutions</t>
        </is>
      </c>
      <c r="D22" s="13" t="inlineStr">
        <is>
          <t>DK</t>
        </is>
      </c>
      <c r="E22" s="13" t="n">
        <v>2024</v>
      </c>
      <c r="F22" s="17" t="n">
        <v>51</v>
      </c>
      <c r="G22" s="13" t="inlineStr">
        <is>
          <t>count</t>
        </is>
      </c>
      <c r="H22" s="15" t="inlineStr">
        <is>
          <t>institutions</t>
        </is>
      </c>
      <c r="I22" s="13" t="inlineStr"/>
      <c r="J22" s="14" t="inlineStr">
        <is>
          <t>FD1</t>
        </is>
      </c>
      <c r="K22" s="13" t="inlineStr">
        <is>
          <t>2026-09-12</t>
        </is>
      </c>
      <c r="L22" s="15" t="inlineStr"/>
    </row>
    <row r="23">
      <c r="A23" s="18" t="n">
        <v>22</v>
      </c>
      <c r="B23" s="19" t="inlineStr">
        <is>
          <t>DK.FIN.EMP</t>
        </is>
      </c>
      <c r="C23" s="20" t="inlineStr">
        <is>
          <t>Bank employees</t>
        </is>
      </c>
      <c r="D23" s="18" t="inlineStr">
        <is>
          <t>DK</t>
        </is>
      </c>
      <c r="E23" s="18" t="n">
        <v>1991</v>
      </c>
      <c r="F23" s="21" t="n">
        <v>51000</v>
      </c>
      <c r="G23" s="18" t="inlineStr">
        <is>
          <t>count</t>
        </is>
      </c>
      <c r="H23" s="20" t="inlineStr">
        <is>
          <t>persons employed</t>
        </is>
      </c>
      <c r="I23" s="18" t="inlineStr">
        <is>
          <t>e</t>
        </is>
      </c>
      <c r="J23" s="19" t="inlineStr">
        <is>
          <t>FD1</t>
        </is>
      </c>
      <c r="K23" s="18" t="inlineStr">
        <is>
          <t>2026-09-12</t>
        </is>
      </c>
      <c r="L23" s="20" t="inlineStr">
        <is>
          <t>Source states 'around 51,000'.</t>
        </is>
      </c>
    </row>
    <row r="24">
      <c r="A24" s="18" t="n">
        <v>23</v>
      </c>
      <c r="B24" s="19" t="inlineStr">
        <is>
          <t>DK.FIN.EMP</t>
        </is>
      </c>
      <c r="C24" s="20" t="inlineStr">
        <is>
          <t>Bank employees</t>
        </is>
      </c>
      <c r="D24" s="18" t="inlineStr">
        <is>
          <t>DK</t>
        </is>
      </c>
      <c r="E24" s="18" t="n">
        <v>2024</v>
      </c>
      <c r="F24" s="21" t="n">
        <v>36000</v>
      </c>
      <c r="G24" s="18" t="inlineStr">
        <is>
          <t>count</t>
        </is>
      </c>
      <c r="H24" s="20" t="inlineStr">
        <is>
          <t>persons employed</t>
        </is>
      </c>
      <c r="I24" s="18" t="inlineStr">
        <is>
          <t>e</t>
        </is>
      </c>
      <c r="J24" s="19" t="inlineStr">
        <is>
          <t>FD1</t>
        </is>
      </c>
      <c r="K24" s="18" t="inlineStr">
        <is>
          <t>2026-09-12</t>
        </is>
      </c>
      <c r="L24" s="20" t="inlineStr">
        <is>
          <t>Source states 'just under 36,000'.</t>
        </is>
      </c>
    </row>
    <row r="25">
      <c r="A25" s="18" t="n">
        <v>24</v>
      </c>
      <c r="B25" s="19" t="inlineStr">
        <is>
          <t>DK.ECM.IND.BUY</t>
        </is>
      </c>
      <c r="C25" s="20" t="inlineStr">
        <is>
          <t>Individuals who bought online in last 12 months</t>
        </is>
      </c>
      <c r="D25" s="18" t="inlineStr">
        <is>
          <t>DK</t>
        </is>
      </c>
      <c r="E25" s="18" t="n">
        <v>2019</v>
      </c>
      <c r="F25" s="22" t="n">
        <v>84</v>
      </c>
      <c r="G25" s="18" t="inlineStr">
        <is>
          <t>%</t>
        </is>
      </c>
      <c r="H25" s="20" t="inlineStr">
        <is>
          <t>% of individuals</t>
        </is>
      </c>
      <c r="I25" s="18" t="inlineStr">
        <is>
          <t>b</t>
        </is>
      </c>
      <c r="J25" s="19" t="inlineStr">
        <is>
          <t>ES1</t>
        </is>
      </c>
      <c r="K25" s="18" t="inlineStr">
        <is>
          <t>2026-09-12</t>
        </is>
      </c>
      <c r="L25" s="20" t="inlineStr">
        <is>
          <t>BREAK: denominator is % of individuals. Highest in EU that year.</t>
        </is>
      </c>
    </row>
    <row r="26">
      <c r="A26" s="13" t="n">
        <v>25</v>
      </c>
      <c r="B26" s="14" t="inlineStr">
        <is>
          <t>DK.ECM.IND.BUY</t>
        </is>
      </c>
      <c r="C26" s="15" t="inlineStr">
        <is>
          <t>Individuals who bought online in last 12 months</t>
        </is>
      </c>
      <c r="D26" s="13" t="inlineStr">
        <is>
          <t>DK</t>
        </is>
      </c>
      <c r="E26" s="13" t="n">
        <v>2020</v>
      </c>
      <c r="F26" s="16" t="n">
        <v>90</v>
      </c>
      <c r="G26" s="13" t="inlineStr">
        <is>
          <t>%</t>
        </is>
      </c>
      <c r="H26" s="15" t="inlineStr">
        <is>
          <t>% of internet users</t>
        </is>
      </c>
      <c r="I26" s="13" t="inlineStr"/>
      <c r="J26" s="14" t="inlineStr">
        <is>
          <t>ES2</t>
        </is>
      </c>
      <c r="K26" s="13" t="inlineStr">
        <is>
          <t>2026-09-12</t>
        </is>
      </c>
      <c r="L26" s="15" t="inlineStr">
        <is>
          <t>Rounded, from a Eurostat news release. Only the 2024 cross-section is available here unrounded, so this series mixes precisions across years.</t>
        </is>
      </c>
    </row>
    <row r="27">
      <c r="A27" s="13" t="n">
        <v>26</v>
      </c>
      <c r="B27" s="14" t="inlineStr">
        <is>
          <t>DK.ECM.IND.BUY</t>
        </is>
      </c>
      <c r="C27" s="15" t="inlineStr">
        <is>
          <t>Individuals who bought online in last 12 months</t>
        </is>
      </c>
      <c r="D27" s="13" t="inlineStr">
        <is>
          <t>DK</t>
        </is>
      </c>
      <c r="E27" s="13" t="n">
        <v>2021</v>
      </c>
      <c r="F27" s="16" t="n">
        <v>92</v>
      </c>
      <c r="G27" s="13" t="inlineStr">
        <is>
          <t>%</t>
        </is>
      </c>
      <c r="H27" s="15" t="inlineStr">
        <is>
          <t>% of internet users</t>
        </is>
      </c>
      <c r="I27" s="13" t="inlineStr"/>
      <c r="J27" s="14" t="inlineStr">
        <is>
          <t>ES3</t>
        </is>
      </c>
      <c r="K27" s="13" t="inlineStr">
        <is>
          <t>2026-09-12</t>
        </is>
      </c>
      <c r="L27" s="15" t="inlineStr">
        <is>
          <t>Rounded, from a Eurostat news release. See the 2020 note on mixed precision.</t>
        </is>
      </c>
    </row>
    <row r="28">
      <c r="A28" s="13" t="n">
        <v>27</v>
      </c>
      <c r="B28" s="14" t="inlineStr">
        <is>
          <t>EU.ECM.IND.BUY</t>
        </is>
      </c>
      <c r="C28" s="15" t="inlineStr">
        <is>
          <t>Individuals who bought online in last 12 months</t>
        </is>
      </c>
      <c r="D28" s="13" t="inlineStr">
        <is>
          <t>EU27</t>
        </is>
      </c>
      <c r="E28" s="13" t="n">
        <v>2024</v>
      </c>
      <c r="F28" s="16" t="n">
        <v>76.58</v>
      </c>
      <c r="G28" s="13" t="inlineStr">
        <is>
          <t>%</t>
        </is>
      </c>
      <c r="H28" s="15" t="inlineStr">
        <is>
          <t>% of internet users</t>
        </is>
      </c>
      <c r="I28" s="13" t="inlineStr"/>
      <c r="J28" s="14" t="inlineStr">
        <is>
          <t>ES7</t>
        </is>
      </c>
      <c r="K28" s="13" t="inlineStr">
        <is>
          <t>2026-09-12</t>
        </is>
      </c>
      <c r="L28" s="15" t="inlineStr"/>
    </row>
    <row r="29">
      <c r="A29" s="13" t="n">
        <v>28</v>
      </c>
      <c r="B29" s="14" t="inlineStr">
        <is>
          <t>AT.ECM.IND.BUY</t>
        </is>
      </c>
      <c r="C29" s="15" t="inlineStr">
        <is>
          <t>Individuals who bought online in last 12 months</t>
        </is>
      </c>
      <c r="D29" s="13" t="inlineStr">
        <is>
          <t>AT</t>
        </is>
      </c>
      <c r="E29" s="13" t="n">
        <v>2024</v>
      </c>
      <c r="F29" s="16" t="n">
        <v>74.18000000000001</v>
      </c>
      <c r="G29" s="13" t="inlineStr">
        <is>
          <t>%</t>
        </is>
      </c>
      <c r="H29" s="15" t="inlineStr">
        <is>
          <t>% of internet users</t>
        </is>
      </c>
      <c r="I29" s="13" t="inlineStr"/>
      <c r="J29" s="14" t="inlineStr">
        <is>
          <t>ES7</t>
        </is>
      </c>
      <c r="K29" s="13" t="inlineStr">
        <is>
          <t>2026-09-12</t>
        </is>
      </c>
      <c r="L29" s="15" t="inlineStr"/>
    </row>
    <row r="30">
      <c r="A30" s="13" t="n">
        <v>29</v>
      </c>
      <c r="B30" s="14" t="inlineStr">
        <is>
          <t>BE.ECM.IND.BUY</t>
        </is>
      </c>
      <c r="C30" s="15" t="inlineStr">
        <is>
          <t>Individuals who bought online in last 12 months</t>
        </is>
      </c>
      <c r="D30" s="13" t="inlineStr">
        <is>
          <t>BE</t>
        </is>
      </c>
      <c r="E30" s="13" t="n">
        <v>2024</v>
      </c>
      <c r="F30" s="16" t="n">
        <v>78.98</v>
      </c>
      <c r="G30" s="13" t="inlineStr">
        <is>
          <t>%</t>
        </is>
      </c>
      <c r="H30" s="15" t="inlineStr">
        <is>
          <t>% of internet users</t>
        </is>
      </c>
      <c r="I30" s="13" t="inlineStr"/>
      <c r="J30" s="14" t="inlineStr">
        <is>
          <t>ES7</t>
        </is>
      </c>
      <c r="K30" s="13" t="inlineStr">
        <is>
          <t>2026-09-12</t>
        </is>
      </c>
      <c r="L30" s="15" t="inlineStr"/>
    </row>
    <row r="31">
      <c r="A31" s="13" t="n">
        <v>30</v>
      </c>
      <c r="B31" s="14" t="inlineStr">
        <is>
          <t>BG.ECM.IND.BUY</t>
        </is>
      </c>
      <c r="C31" s="15" t="inlineStr">
        <is>
          <t>Individuals who bought online in last 12 months</t>
        </is>
      </c>
      <c r="D31" s="13" t="inlineStr">
        <is>
          <t>BG</t>
        </is>
      </c>
      <c r="E31" s="13" t="n">
        <v>2024</v>
      </c>
      <c r="F31" s="16" t="n">
        <v>57.18</v>
      </c>
      <c r="G31" s="13" t="inlineStr">
        <is>
          <t>%</t>
        </is>
      </c>
      <c r="H31" s="15" t="inlineStr">
        <is>
          <t>% of internet users</t>
        </is>
      </c>
      <c r="I31" s="13" t="inlineStr"/>
      <c r="J31" s="14" t="inlineStr">
        <is>
          <t>ES7</t>
        </is>
      </c>
      <c r="K31" s="13" t="inlineStr">
        <is>
          <t>2026-09-12</t>
        </is>
      </c>
      <c r="L31" s="15" t="inlineStr">
        <is>
          <t>Lowest of the 27, as the press release reported. Supersedes the rounded 57%.</t>
        </is>
      </c>
    </row>
    <row r="32">
      <c r="A32" s="13" t="n">
        <v>31</v>
      </c>
      <c r="B32" s="14" t="inlineStr">
        <is>
          <t>CY.ECM.IND.BUY</t>
        </is>
      </c>
      <c r="C32" s="15" t="inlineStr">
        <is>
          <t>Individuals who bought online in last 12 months</t>
        </is>
      </c>
      <c r="D32" s="13" t="inlineStr">
        <is>
          <t>CY</t>
        </is>
      </c>
      <c r="E32" s="13" t="n">
        <v>2024</v>
      </c>
      <c r="F32" s="16" t="n">
        <v>68.16</v>
      </c>
      <c r="G32" s="13" t="inlineStr">
        <is>
          <t>%</t>
        </is>
      </c>
      <c r="H32" s="15" t="inlineStr">
        <is>
          <t>% of internet users</t>
        </is>
      </c>
      <c r="I32" s="13" t="inlineStr"/>
      <c r="J32" s="14" t="inlineStr">
        <is>
          <t>ES7</t>
        </is>
      </c>
      <c r="K32" s="13" t="inlineStr">
        <is>
          <t>2026-09-12</t>
        </is>
      </c>
      <c r="L32" s="15" t="inlineStr"/>
    </row>
    <row r="33">
      <c r="A33" s="13" t="n">
        <v>32</v>
      </c>
      <c r="B33" s="14" t="inlineStr">
        <is>
          <t>CZ.ECM.IND.BUY</t>
        </is>
      </c>
      <c r="C33" s="15" t="inlineStr">
        <is>
          <t>Individuals who bought online in last 12 months</t>
        </is>
      </c>
      <c r="D33" s="13" t="inlineStr">
        <is>
          <t>CZ</t>
        </is>
      </c>
      <c r="E33" s="13" t="n">
        <v>2024</v>
      </c>
      <c r="F33" s="16" t="n">
        <v>86.20999999999999</v>
      </c>
      <c r="G33" s="13" t="inlineStr">
        <is>
          <t>%</t>
        </is>
      </c>
      <c r="H33" s="15" t="inlineStr">
        <is>
          <t>% of internet users</t>
        </is>
      </c>
      <c r="I33" s="13" t="inlineStr"/>
      <c r="J33" s="14" t="inlineStr">
        <is>
          <t>ES7</t>
        </is>
      </c>
      <c r="K33" s="13" t="inlineStr">
        <is>
          <t>2026-09-12</t>
        </is>
      </c>
      <c r="L33" s="15" t="inlineStr"/>
    </row>
    <row r="34">
      <c r="A34" s="13" t="n">
        <v>33</v>
      </c>
      <c r="B34" s="14" t="inlineStr">
        <is>
          <t>DE.ECM.IND.BUY</t>
        </is>
      </c>
      <c r="C34" s="15" t="inlineStr">
        <is>
          <t>Individuals who bought online in last 12 months</t>
        </is>
      </c>
      <c r="D34" s="13" t="inlineStr">
        <is>
          <t>DE</t>
        </is>
      </c>
      <c r="E34" s="13" t="n">
        <v>2024</v>
      </c>
      <c r="F34" s="16" t="n">
        <v>82.53</v>
      </c>
      <c r="G34" s="13" t="inlineStr">
        <is>
          <t>%</t>
        </is>
      </c>
      <c r="H34" s="15" t="inlineStr">
        <is>
          <t>% of internet users</t>
        </is>
      </c>
      <c r="I34" s="13" t="inlineStr"/>
      <c r="J34" s="14" t="inlineStr">
        <is>
          <t>ES7</t>
        </is>
      </c>
      <c r="K34" s="13" t="inlineStr">
        <is>
          <t>2026-09-12</t>
        </is>
      </c>
      <c r="L34" s="15" t="inlineStr">
        <is>
          <t>Supersedes the rounded 83%.</t>
        </is>
      </c>
    </row>
    <row r="35">
      <c r="A35" s="13" t="n">
        <v>34</v>
      </c>
      <c r="B35" s="14" t="inlineStr">
        <is>
          <t>DK.ECM.IND.BUY</t>
        </is>
      </c>
      <c r="C35" s="15" t="inlineStr">
        <is>
          <t>Individuals who bought online in last 12 months</t>
        </is>
      </c>
      <c r="D35" s="13" t="inlineStr">
        <is>
          <t>DK</t>
        </is>
      </c>
      <c r="E35" s="13" t="n">
        <v>2024</v>
      </c>
      <c r="F35" s="16" t="n">
        <v>90.86</v>
      </c>
      <c r="G35" s="13" t="inlineStr">
        <is>
          <t>%</t>
        </is>
      </c>
      <c r="H35" s="15" t="inlineStr">
        <is>
          <t>% of internet users</t>
        </is>
      </c>
      <c r="I35" s="13" t="inlineStr"/>
      <c r="J35" s="14" t="inlineStr">
        <is>
          <t>ES7</t>
        </is>
      </c>
      <c r="K35" s="13" t="inlineStr">
        <is>
          <t>2026-09-12</t>
        </is>
      </c>
      <c r="L35" s="15" t="inlineStr">
        <is>
          <t>Supersedes the rounded 91% taken from the Eurostat press release.</t>
        </is>
      </c>
    </row>
    <row r="36">
      <c r="A36" s="13" t="n">
        <v>35</v>
      </c>
      <c r="B36" s="14" t="inlineStr">
        <is>
          <t>EE.ECM.IND.BUY</t>
        </is>
      </c>
      <c r="C36" s="15" t="inlineStr">
        <is>
          <t>Individuals who bought online in last 12 months</t>
        </is>
      </c>
      <c r="D36" s="13" t="inlineStr">
        <is>
          <t>EE</t>
        </is>
      </c>
      <c r="E36" s="13" t="n">
        <v>2024</v>
      </c>
      <c r="F36" s="16" t="n">
        <v>78.72</v>
      </c>
      <c r="G36" s="13" t="inlineStr">
        <is>
          <t>%</t>
        </is>
      </c>
      <c r="H36" s="15" t="inlineStr">
        <is>
          <t>% of internet users</t>
        </is>
      </c>
      <c r="I36" s="13" t="inlineStr"/>
      <c r="J36" s="14" t="inlineStr">
        <is>
          <t>ES7</t>
        </is>
      </c>
      <c r="K36" s="13" t="inlineStr">
        <is>
          <t>2026-09-12</t>
        </is>
      </c>
      <c r="L36" s="15" t="inlineStr"/>
    </row>
    <row r="37">
      <c r="A37" s="13" t="n">
        <v>36</v>
      </c>
      <c r="B37" s="14" t="inlineStr">
        <is>
          <t>EL.ECM.IND.BUY</t>
        </is>
      </c>
      <c r="C37" s="15" t="inlineStr">
        <is>
          <t>Individuals who bought online in last 12 months</t>
        </is>
      </c>
      <c r="D37" s="13" t="inlineStr">
        <is>
          <t>EL</t>
        </is>
      </c>
      <c r="E37" s="13" t="n">
        <v>2024</v>
      </c>
      <c r="F37" s="16" t="n">
        <v>74.66</v>
      </c>
      <c r="G37" s="13" t="inlineStr">
        <is>
          <t>%</t>
        </is>
      </c>
      <c r="H37" s="15" t="inlineStr">
        <is>
          <t>% of internet users</t>
        </is>
      </c>
      <c r="I37" s="13" t="inlineStr"/>
      <c r="J37" s="14" t="inlineStr">
        <is>
          <t>ES7</t>
        </is>
      </c>
      <c r="K37" s="13" t="inlineStr">
        <is>
          <t>2026-09-12</t>
        </is>
      </c>
      <c r="L37" s="15" t="inlineStr"/>
    </row>
    <row r="38">
      <c r="A38" s="13" t="n">
        <v>37</v>
      </c>
      <c r="B38" s="14" t="inlineStr">
        <is>
          <t>ES.ECM.IND.BUY</t>
        </is>
      </c>
      <c r="C38" s="15" t="inlineStr">
        <is>
          <t>Individuals who bought online in last 12 months</t>
        </is>
      </c>
      <c r="D38" s="13" t="inlineStr">
        <is>
          <t>ES</t>
        </is>
      </c>
      <c r="E38" s="13" t="n">
        <v>2024</v>
      </c>
      <c r="F38" s="16" t="n">
        <v>71.54000000000001</v>
      </c>
      <c r="G38" s="13" t="inlineStr">
        <is>
          <t>%</t>
        </is>
      </c>
      <c r="H38" s="15" t="inlineStr">
        <is>
          <t>% of internet users</t>
        </is>
      </c>
      <c r="I38" s="13" t="inlineStr"/>
      <c r="J38" s="14" t="inlineStr">
        <is>
          <t>ES7</t>
        </is>
      </c>
      <c r="K38" s="13" t="inlineStr">
        <is>
          <t>2026-09-12</t>
        </is>
      </c>
      <c r="L38" s="15" t="inlineStr"/>
    </row>
    <row r="39">
      <c r="A39" s="13" t="n">
        <v>38</v>
      </c>
      <c r="B39" s="14" t="inlineStr">
        <is>
          <t>FI.ECM.IND.BUY</t>
        </is>
      </c>
      <c r="C39" s="15" t="inlineStr">
        <is>
          <t>Individuals who bought online in last 12 months</t>
        </is>
      </c>
      <c r="D39" s="13" t="inlineStr">
        <is>
          <t>FI</t>
        </is>
      </c>
      <c r="E39" s="13" t="n">
        <v>2024</v>
      </c>
      <c r="F39" s="16" t="n">
        <v>80.40000000000001</v>
      </c>
      <c r="G39" s="13" t="inlineStr">
        <is>
          <t>%</t>
        </is>
      </c>
      <c r="H39" s="15" t="inlineStr">
        <is>
          <t>% of internet users</t>
        </is>
      </c>
      <c r="I39" s="13" t="inlineStr"/>
      <c r="J39" s="14" t="inlineStr">
        <is>
          <t>ES7</t>
        </is>
      </c>
      <c r="K39" s="13" t="inlineStr">
        <is>
          <t>2026-09-12</t>
        </is>
      </c>
      <c r="L39" s="15" t="inlineStr"/>
    </row>
    <row r="40">
      <c r="A40" s="13" t="n">
        <v>39</v>
      </c>
      <c r="B40" s="14" t="inlineStr">
        <is>
          <t>FR.ECM.IND.BUY</t>
        </is>
      </c>
      <c r="C40" s="15" t="inlineStr">
        <is>
          <t>Individuals who bought online in last 12 months</t>
        </is>
      </c>
      <c r="D40" s="13" t="inlineStr">
        <is>
          <t>FR</t>
        </is>
      </c>
      <c r="E40" s="13" t="n">
        <v>2024</v>
      </c>
      <c r="F40" s="16" t="n">
        <v>84.37</v>
      </c>
      <c r="G40" s="13" t="inlineStr">
        <is>
          <t>%</t>
        </is>
      </c>
      <c r="H40" s="15" t="inlineStr">
        <is>
          <t>% of internet users</t>
        </is>
      </c>
      <c r="I40" s="13" t="inlineStr"/>
      <c r="J40" s="14" t="inlineStr">
        <is>
          <t>ES7</t>
        </is>
      </c>
      <c r="K40" s="13" t="inlineStr">
        <is>
          <t>2026-09-12</t>
        </is>
      </c>
      <c r="L40" s="15" t="inlineStr"/>
    </row>
    <row r="41">
      <c r="A41" s="13" t="n">
        <v>40</v>
      </c>
      <c r="B41" s="14" t="inlineStr">
        <is>
          <t>HR.ECM.IND.BUY</t>
        </is>
      </c>
      <c r="C41" s="15" t="inlineStr">
        <is>
          <t>Individuals who bought online in last 12 months</t>
        </is>
      </c>
      <c r="D41" s="13" t="inlineStr">
        <is>
          <t>HR</t>
        </is>
      </c>
      <c r="E41" s="13" t="n">
        <v>2024</v>
      </c>
      <c r="F41" s="16" t="n">
        <v>70.06999999999999</v>
      </c>
      <c r="G41" s="13" t="inlineStr">
        <is>
          <t>%</t>
        </is>
      </c>
      <c r="H41" s="15" t="inlineStr">
        <is>
          <t>% of internet users</t>
        </is>
      </c>
      <c r="I41" s="13" t="inlineStr"/>
      <c r="J41" s="14" t="inlineStr">
        <is>
          <t>ES7</t>
        </is>
      </c>
      <c r="K41" s="13" t="inlineStr">
        <is>
          <t>2026-09-12</t>
        </is>
      </c>
      <c r="L41" s="15" t="inlineStr"/>
    </row>
    <row r="42">
      <c r="A42" s="13" t="n">
        <v>41</v>
      </c>
      <c r="B42" s="14" t="inlineStr">
        <is>
          <t>HU.ECM.IND.BUY</t>
        </is>
      </c>
      <c r="C42" s="15" t="inlineStr">
        <is>
          <t>Individuals who bought online in last 12 months</t>
        </is>
      </c>
      <c r="D42" s="13" t="inlineStr">
        <is>
          <t>HU</t>
        </is>
      </c>
      <c r="E42" s="13" t="n">
        <v>2024</v>
      </c>
      <c r="F42" s="16" t="n">
        <v>78.87</v>
      </c>
      <c r="G42" s="13" t="inlineStr">
        <is>
          <t>%</t>
        </is>
      </c>
      <c r="H42" s="15" t="inlineStr">
        <is>
          <t>% of internet users</t>
        </is>
      </c>
      <c r="I42" s="13" t="inlineStr"/>
      <c r="J42" s="14" t="inlineStr">
        <is>
          <t>ES7</t>
        </is>
      </c>
      <c r="K42" s="13" t="inlineStr">
        <is>
          <t>2026-09-12</t>
        </is>
      </c>
      <c r="L42" s="15" t="inlineStr">
        <is>
          <t>Supersedes the rounded 79%.</t>
        </is>
      </c>
    </row>
    <row r="43">
      <c r="A43" s="13" t="n">
        <v>42</v>
      </c>
      <c r="B43" s="14" t="inlineStr">
        <is>
          <t>IE.ECM.IND.BUY</t>
        </is>
      </c>
      <c r="C43" s="15" t="inlineStr">
        <is>
          <t>Individuals who bought online in last 12 months</t>
        </is>
      </c>
      <c r="D43" s="13" t="inlineStr">
        <is>
          <t>IE</t>
        </is>
      </c>
      <c r="E43" s="13" t="n">
        <v>2024</v>
      </c>
      <c r="F43" s="16" t="n">
        <v>95.79000000000001</v>
      </c>
      <c r="G43" s="13" t="inlineStr">
        <is>
          <t>%</t>
        </is>
      </c>
      <c r="H43" s="15" t="inlineStr">
        <is>
          <t>% of internet users</t>
        </is>
      </c>
      <c r="I43" s="13" t="inlineStr"/>
      <c r="J43" s="14" t="inlineStr">
        <is>
          <t>ES7</t>
        </is>
      </c>
      <c r="K43" s="13" t="inlineStr">
        <is>
          <t>2026-09-12</t>
        </is>
      </c>
      <c r="L43" s="15" t="inlineStr">
        <is>
          <t>Highest in EU. Supersedes the rounded 96%.</t>
        </is>
      </c>
    </row>
    <row r="44">
      <c r="A44" s="13" t="n">
        <v>43</v>
      </c>
      <c r="B44" s="14" t="inlineStr">
        <is>
          <t>IT.ECM.IND.BUY</t>
        </is>
      </c>
      <c r="C44" s="15" t="inlineStr">
        <is>
          <t>Individuals who bought online in last 12 months</t>
        </is>
      </c>
      <c r="D44" s="13" t="inlineStr">
        <is>
          <t>IT</t>
        </is>
      </c>
      <c r="E44" s="13" t="n">
        <v>2024</v>
      </c>
      <c r="F44" s="16" t="n">
        <v>59.6</v>
      </c>
      <c r="G44" s="13" t="inlineStr">
        <is>
          <t>%</t>
        </is>
      </c>
      <c r="H44" s="15" t="inlineStr">
        <is>
          <t>% of internet users</t>
        </is>
      </c>
      <c r="I44" s="13" t="inlineStr"/>
      <c r="J44" s="14" t="inlineStr">
        <is>
          <t>ES7</t>
        </is>
      </c>
      <c r="K44" s="13" t="inlineStr">
        <is>
          <t>2026-09-12</t>
        </is>
      </c>
      <c r="L44" s="15" t="inlineStr">
        <is>
          <t>Second lowest of the 27. Supersedes the rounded 60%, which tied Italy with Romania; unrounded Italy is below Romania, so they are not tied.</t>
        </is>
      </c>
    </row>
    <row r="45">
      <c r="A45" s="13" t="n">
        <v>44</v>
      </c>
      <c r="B45" s="14" t="inlineStr">
        <is>
          <t>LT.ECM.IND.BUY</t>
        </is>
      </c>
      <c r="C45" s="15" t="inlineStr">
        <is>
          <t>Individuals who bought online in last 12 months</t>
        </is>
      </c>
      <c r="D45" s="13" t="inlineStr">
        <is>
          <t>LT</t>
        </is>
      </c>
      <c r="E45" s="13" t="n">
        <v>2024</v>
      </c>
      <c r="F45" s="16" t="n">
        <v>71.95999999999999</v>
      </c>
      <c r="G45" s="13" t="inlineStr">
        <is>
          <t>%</t>
        </is>
      </c>
      <c r="H45" s="15" t="inlineStr">
        <is>
          <t>% of internet users</t>
        </is>
      </c>
      <c r="I45" s="13" t="inlineStr"/>
      <c r="J45" s="14" t="inlineStr">
        <is>
          <t>ES7</t>
        </is>
      </c>
      <c r="K45" s="13" t="inlineStr">
        <is>
          <t>2026-09-12</t>
        </is>
      </c>
      <c r="L45" s="15" t="inlineStr">
        <is>
          <t>Supersedes the rounded 72%.</t>
        </is>
      </c>
    </row>
    <row r="46">
      <c r="A46" s="13" t="n">
        <v>45</v>
      </c>
      <c r="B46" s="14" t="inlineStr">
        <is>
          <t>LU.ECM.IND.BUY</t>
        </is>
      </c>
      <c r="C46" s="15" t="inlineStr">
        <is>
          <t>Individuals who bought online in last 12 months</t>
        </is>
      </c>
      <c r="D46" s="13" t="inlineStr">
        <is>
          <t>LU</t>
        </is>
      </c>
      <c r="E46" s="13" t="n">
        <v>2024</v>
      </c>
      <c r="F46" s="16" t="n">
        <v>81.34</v>
      </c>
      <c r="G46" s="13" t="inlineStr">
        <is>
          <t>%</t>
        </is>
      </c>
      <c r="H46" s="15" t="inlineStr">
        <is>
          <t>% of internet users</t>
        </is>
      </c>
      <c r="I46" s="13" t="inlineStr"/>
      <c r="J46" s="14" t="inlineStr">
        <is>
          <t>ES7</t>
        </is>
      </c>
      <c r="K46" s="13" t="inlineStr">
        <is>
          <t>2026-09-12</t>
        </is>
      </c>
      <c r="L46" s="15" t="inlineStr"/>
    </row>
    <row r="47">
      <c r="A47" s="13" t="n">
        <v>46</v>
      </c>
      <c r="B47" s="14" t="inlineStr">
        <is>
          <t>LV.ECM.IND.BUY</t>
        </is>
      </c>
      <c r="C47" s="15" t="inlineStr">
        <is>
          <t>Individuals who bought online in last 12 months</t>
        </is>
      </c>
      <c r="D47" s="13" t="inlineStr">
        <is>
          <t>LV</t>
        </is>
      </c>
      <c r="E47" s="13" t="n">
        <v>2024</v>
      </c>
      <c r="F47" s="16" t="n">
        <v>69.34999999999999</v>
      </c>
      <c r="G47" s="13" t="inlineStr">
        <is>
          <t>%</t>
        </is>
      </c>
      <c r="H47" s="15" t="inlineStr">
        <is>
          <t>% of internet users</t>
        </is>
      </c>
      <c r="I47" s="13" t="inlineStr"/>
      <c r="J47" s="14" t="inlineStr">
        <is>
          <t>ES7</t>
        </is>
      </c>
      <c r="K47" s="13" t="inlineStr">
        <is>
          <t>2026-09-12</t>
        </is>
      </c>
      <c r="L47" s="15" t="inlineStr"/>
    </row>
    <row r="48">
      <c r="A48" s="13" t="n">
        <v>47</v>
      </c>
      <c r="B48" s="14" t="inlineStr">
        <is>
          <t>MT.ECM.IND.BUY</t>
        </is>
      </c>
      <c r="C48" s="15" t="inlineStr">
        <is>
          <t>Individuals who bought online in last 12 months</t>
        </is>
      </c>
      <c r="D48" s="13" t="inlineStr">
        <is>
          <t>MT</t>
        </is>
      </c>
      <c r="E48" s="13" t="n">
        <v>2024</v>
      </c>
      <c r="F48" s="16" t="n">
        <v>73.2</v>
      </c>
      <c r="G48" s="13" t="inlineStr">
        <is>
          <t>%</t>
        </is>
      </c>
      <c r="H48" s="15" t="inlineStr">
        <is>
          <t>% of internet users</t>
        </is>
      </c>
      <c r="I48" s="13" t="inlineStr"/>
      <c r="J48" s="14" t="inlineStr">
        <is>
          <t>ES7</t>
        </is>
      </c>
      <c r="K48" s="13" t="inlineStr">
        <is>
          <t>2026-09-12</t>
        </is>
      </c>
      <c r="L48" s="15" t="inlineStr"/>
    </row>
    <row r="49">
      <c r="A49" s="13" t="n">
        <v>48</v>
      </c>
      <c r="B49" s="14" t="inlineStr">
        <is>
          <t>NL.ECM.IND.BUY</t>
        </is>
      </c>
      <c r="C49" s="15" t="inlineStr">
        <is>
          <t>Individuals who bought online in last 12 months</t>
        </is>
      </c>
      <c r="D49" s="13" t="inlineStr">
        <is>
          <t>NL</t>
        </is>
      </c>
      <c r="E49" s="13" t="n">
        <v>2024</v>
      </c>
      <c r="F49" s="16" t="n">
        <v>94.42</v>
      </c>
      <c r="G49" s="13" t="inlineStr">
        <is>
          <t>%</t>
        </is>
      </c>
      <c r="H49" s="15" t="inlineStr">
        <is>
          <t>% of internet users</t>
        </is>
      </c>
      <c r="I49" s="13" t="inlineStr"/>
      <c r="J49" s="14" t="inlineStr">
        <is>
          <t>ES7</t>
        </is>
      </c>
      <c r="K49" s="13" t="inlineStr">
        <is>
          <t>2026-09-12</t>
        </is>
      </c>
      <c r="L49" s="15" t="inlineStr">
        <is>
          <t>Supersedes the rounded 94%.</t>
        </is>
      </c>
    </row>
    <row r="50">
      <c r="A50" s="13" t="n">
        <v>49</v>
      </c>
      <c r="B50" s="14" t="inlineStr">
        <is>
          <t>PL.ECM.IND.BUY</t>
        </is>
      </c>
      <c r="C50" s="15" t="inlineStr">
        <is>
          <t>Individuals who bought online in last 12 months</t>
        </is>
      </c>
      <c r="D50" s="13" t="inlineStr">
        <is>
          <t>PL</t>
        </is>
      </c>
      <c r="E50" s="13" t="n">
        <v>2024</v>
      </c>
      <c r="F50" s="16" t="n">
        <v>75.06999999999999</v>
      </c>
      <c r="G50" s="13" t="inlineStr">
        <is>
          <t>%</t>
        </is>
      </c>
      <c r="H50" s="15" t="inlineStr">
        <is>
          <t>% of internet users</t>
        </is>
      </c>
      <c r="I50" s="13" t="inlineStr"/>
      <c r="J50" s="14" t="inlineStr">
        <is>
          <t>ES7</t>
        </is>
      </c>
      <c r="K50" s="13" t="inlineStr">
        <is>
          <t>2026-09-12</t>
        </is>
      </c>
      <c r="L50" s="15" t="inlineStr"/>
    </row>
    <row r="51">
      <c r="A51" s="13" t="n">
        <v>50</v>
      </c>
      <c r="B51" s="14" t="inlineStr">
        <is>
          <t>PT.ECM.IND.BUY</t>
        </is>
      </c>
      <c r="C51" s="15" t="inlineStr">
        <is>
          <t>Individuals who bought online in last 12 months</t>
        </is>
      </c>
      <c r="D51" s="13" t="inlineStr">
        <is>
          <t>PT</t>
        </is>
      </c>
      <c r="E51" s="13" t="n">
        <v>2024</v>
      </c>
      <c r="F51" s="16" t="n">
        <v>66.64</v>
      </c>
      <c r="G51" s="13" t="inlineStr">
        <is>
          <t>%</t>
        </is>
      </c>
      <c r="H51" s="15" t="inlineStr">
        <is>
          <t>% of internet users</t>
        </is>
      </c>
      <c r="I51" s="13" t="inlineStr"/>
      <c r="J51" s="14" t="inlineStr">
        <is>
          <t>ES7</t>
        </is>
      </c>
      <c r="K51" s="13" t="inlineStr">
        <is>
          <t>2026-09-12</t>
        </is>
      </c>
      <c r="L51" s="15" t="inlineStr"/>
    </row>
    <row r="52">
      <c r="A52" s="13" t="n">
        <v>51</v>
      </c>
      <c r="B52" s="14" t="inlineStr">
        <is>
          <t>RO.ECM.IND.BUY</t>
        </is>
      </c>
      <c r="C52" s="15" t="inlineStr">
        <is>
          <t>Individuals who bought online in last 12 months</t>
        </is>
      </c>
      <c r="D52" s="13" t="inlineStr">
        <is>
          <t>RO</t>
        </is>
      </c>
      <c r="E52" s="13" t="n">
        <v>2024</v>
      </c>
      <c r="F52" s="16" t="n">
        <v>59.73</v>
      </c>
      <c r="G52" s="13" t="inlineStr">
        <is>
          <t>%</t>
        </is>
      </c>
      <c r="H52" s="15" t="inlineStr">
        <is>
          <t>% of internet users</t>
        </is>
      </c>
      <c r="I52" s="13" t="inlineStr"/>
      <c r="J52" s="14" t="inlineStr">
        <is>
          <t>ES7</t>
        </is>
      </c>
      <c r="K52" s="13" t="inlineStr">
        <is>
          <t>2026-09-12</t>
        </is>
      </c>
      <c r="L52" s="15" t="inlineStr">
        <is>
          <t>Supersedes the rounded 60%. See the Italy note on the tie.</t>
        </is>
      </c>
    </row>
    <row r="53">
      <c r="A53" s="13" t="n">
        <v>52</v>
      </c>
      <c r="B53" s="14" t="inlineStr">
        <is>
          <t>SE.ECM.IND.BUY</t>
        </is>
      </c>
      <c r="C53" s="15" t="inlineStr">
        <is>
          <t>Individuals who bought online in last 12 months</t>
        </is>
      </c>
      <c r="D53" s="13" t="inlineStr">
        <is>
          <t>SE</t>
        </is>
      </c>
      <c r="E53" s="13" t="n">
        <v>2024</v>
      </c>
      <c r="F53" s="16" t="n">
        <v>89.89</v>
      </c>
      <c r="G53" s="13" t="inlineStr">
        <is>
          <t>%</t>
        </is>
      </c>
      <c r="H53" s="15" t="inlineStr">
        <is>
          <t>% of internet users</t>
        </is>
      </c>
      <c r="I53" s="13" t="inlineStr"/>
      <c r="J53" s="14" t="inlineStr">
        <is>
          <t>ES7</t>
        </is>
      </c>
      <c r="K53" s="13" t="inlineStr">
        <is>
          <t>2026-09-12</t>
        </is>
      </c>
      <c r="L53" s="15" t="inlineStr"/>
    </row>
    <row r="54">
      <c r="A54" s="13" t="n">
        <v>53</v>
      </c>
      <c r="B54" s="14" t="inlineStr">
        <is>
          <t>SI.ECM.IND.BUY</t>
        </is>
      </c>
      <c r="C54" s="15" t="inlineStr">
        <is>
          <t>Individuals who bought online in last 12 months</t>
        </is>
      </c>
      <c r="D54" s="13" t="inlineStr">
        <is>
          <t>SI</t>
        </is>
      </c>
      <c r="E54" s="13" t="n">
        <v>2024</v>
      </c>
      <c r="F54" s="16" t="n">
        <v>72.39</v>
      </c>
      <c r="G54" s="13" t="inlineStr">
        <is>
          <t>%</t>
        </is>
      </c>
      <c r="H54" s="15" t="inlineStr">
        <is>
          <t>% of internet users</t>
        </is>
      </c>
      <c r="I54" s="13" t="inlineStr"/>
      <c r="J54" s="14" t="inlineStr">
        <is>
          <t>ES7</t>
        </is>
      </c>
      <c r="K54" s="13" t="inlineStr">
        <is>
          <t>2026-09-12</t>
        </is>
      </c>
      <c r="L54" s="15" t="inlineStr"/>
    </row>
    <row r="55">
      <c r="A55" s="13" t="n">
        <v>54</v>
      </c>
      <c r="B55" s="14" t="inlineStr">
        <is>
          <t>SK.ECM.IND.BUY</t>
        </is>
      </c>
      <c r="C55" s="15" t="inlineStr">
        <is>
          <t>Individuals who bought online in last 12 months</t>
        </is>
      </c>
      <c r="D55" s="13" t="inlineStr">
        <is>
          <t>SK</t>
        </is>
      </c>
      <c r="E55" s="13" t="n">
        <v>2024</v>
      </c>
      <c r="F55" s="16" t="n">
        <v>85.13</v>
      </c>
      <c r="G55" s="13" t="inlineStr">
        <is>
          <t>%</t>
        </is>
      </c>
      <c r="H55" s="15" t="inlineStr">
        <is>
          <t>% of internet users</t>
        </is>
      </c>
      <c r="I55" s="13" t="inlineStr"/>
      <c r="J55" s="14" t="inlineStr">
        <is>
          <t>ES7</t>
        </is>
      </c>
      <c r="K55" s="13" t="inlineStr">
        <is>
          <t>2026-09-12</t>
        </is>
      </c>
      <c r="L55" s="15" t="inlineStr"/>
    </row>
    <row r="56">
      <c r="A56" s="13" t="n">
        <v>55</v>
      </c>
      <c r="B56" s="14" t="inlineStr">
        <is>
          <t>EU.ECM.IND.BUY</t>
        </is>
      </c>
      <c r="C56" s="15" t="inlineStr">
        <is>
          <t>Individuals who bought online in last 12 months</t>
        </is>
      </c>
      <c r="D56" s="13" t="inlineStr">
        <is>
          <t>EU27</t>
        </is>
      </c>
      <c r="E56" s="13" t="n">
        <v>2014</v>
      </c>
      <c r="F56" s="16" t="n">
        <v>59</v>
      </c>
      <c r="G56" s="13" t="inlineStr">
        <is>
          <t>%</t>
        </is>
      </c>
      <c r="H56" s="15" t="inlineStr">
        <is>
          <t>% of internet users</t>
        </is>
      </c>
      <c r="I56" s="13" t="inlineStr"/>
      <c r="J56" s="14" t="inlineStr">
        <is>
          <t>ES4</t>
        </is>
      </c>
      <c r="K56" s="13" t="inlineStr">
        <is>
          <t>2026-09-12</t>
        </is>
      </c>
      <c r="L56" s="15" t="inlineStr"/>
    </row>
    <row r="57">
      <c r="A57" s="13" t="n">
        <v>56</v>
      </c>
      <c r="B57" s="14" t="inlineStr">
        <is>
          <t>DK.ECM.ENT.TRN</t>
        </is>
      </c>
      <c r="C57" s="15" t="inlineStr">
        <is>
          <t>E-sales as share of enterprise turnover</t>
        </is>
      </c>
      <c r="D57" s="13" t="inlineStr">
        <is>
          <t>DK</t>
        </is>
      </c>
      <c r="E57" s="13" t="n">
        <v>2014</v>
      </c>
      <c r="F57" s="16" t="n">
        <v>17.05</v>
      </c>
      <c r="G57" s="13" t="inlineStr">
        <is>
          <t>%</t>
        </is>
      </c>
      <c r="H57" s="15" t="inlineStr">
        <is>
          <t>% of total enterprise turnover</t>
        </is>
      </c>
      <c r="I57" s="13" t="inlineStr"/>
      <c r="J57" s="14" t="inlineStr">
        <is>
          <t>ES5</t>
        </is>
      </c>
      <c r="K57" s="13" t="inlineStr">
        <is>
          <t>2026-09-12</t>
        </is>
      </c>
      <c r="L57" s="15" t="inlineStr"/>
    </row>
    <row r="58">
      <c r="A58" s="13" t="n">
        <v>57</v>
      </c>
      <c r="B58" s="14" t="inlineStr">
        <is>
          <t>DK.ECM.ENT.TRN</t>
        </is>
      </c>
      <c r="C58" s="15" t="inlineStr">
        <is>
          <t>E-sales as share of enterprise turnover</t>
        </is>
      </c>
      <c r="D58" s="13" t="inlineStr">
        <is>
          <t>DK</t>
        </is>
      </c>
      <c r="E58" s="13" t="n">
        <v>2024</v>
      </c>
      <c r="F58" s="16" t="n">
        <v>33.31</v>
      </c>
      <c r="G58" s="13" t="inlineStr">
        <is>
          <t>%</t>
        </is>
      </c>
      <c r="H58" s="15" t="inlineStr">
        <is>
          <t>% of total enterprise turnover</t>
        </is>
      </c>
      <c r="I58" s="13" t="inlineStr"/>
      <c r="J58" s="14" t="inlineStr">
        <is>
          <t>ES5</t>
        </is>
      </c>
      <c r="K58" s="13" t="inlineStr">
        <is>
          <t>2026-09-12</t>
        </is>
      </c>
      <c r="L58" s="15" t="inlineStr">
        <is>
          <t>2nd in EU after Ireland.</t>
        </is>
      </c>
    </row>
    <row r="59">
      <c r="A59" s="13" t="n">
        <v>58</v>
      </c>
      <c r="B59" s="14" t="inlineStr">
        <is>
          <t>EU.ECM.ENT.TRN</t>
        </is>
      </c>
      <c r="C59" s="15" t="inlineStr">
        <is>
          <t>E-sales as share of enterprise turnover</t>
        </is>
      </c>
      <c r="D59" s="13" t="inlineStr">
        <is>
          <t>EU27</t>
        </is>
      </c>
      <c r="E59" s="13" t="n">
        <v>2014</v>
      </c>
      <c r="F59" s="16" t="n">
        <v>16.43</v>
      </c>
      <c r="G59" s="13" t="inlineStr">
        <is>
          <t>%</t>
        </is>
      </c>
      <c r="H59" s="15" t="inlineStr">
        <is>
          <t>% of total enterprise turnover</t>
        </is>
      </c>
      <c r="I59" s="13" t="inlineStr"/>
      <c r="J59" s="14" t="inlineStr">
        <is>
          <t>ES5</t>
        </is>
      </c>
      <c r="K59" s="13" t="inlineStr">
        <is>
          <t>2026-09-12</t>
        </is>
      </c>
      <c r="L59" s="15" t="inlineStr"/>
    </row>
    <row r="60">
      <c r="A60" s="13" t="n">
        <v>59</v>
      </c>
      <c r="B60" s="14" t="inlineStr">
        <is>
          <t>EU.ECM.ENT.TRN</t>
        </is>
      </c>
      <c r="C60" s="15" t="inlineStr">
        <is>
          <t>E-sales as share of enterprise turnover</t>
        </is>
      </c>
      <c r="D60" s="13" t="inlineStr">
        <is>
          <t>EU27</t>
        </is>
      </c>
      <c r="E60" s="13" t="n">
        <v>2024</v>
      </c>
      <c r="F60" s="16" t="n">
        <v>19.49</v>
      </c>
      <c r="G60" s="13" t="inlineStr">
        <is>
          <t>%</t>
        </is>
      </c>
      <c r="H60" s="15" t="inlineStr">
        <is>
          <t>% of total enterprise turnover</t>
        </is>
      </c>
      <c r="I60" s="13" t="inlineStr"/>
      <c r="J60" s="14" t="inlineStr">
        <is>
          <t>ES5</t>
        </is>
      </c>
      <c r="K60" s="13" t="inlineStr">
        <is>
          <t>2026-09-12</t>
        </is>
      </c>
      <c r="L60" s="15" t="inlineStr"/>
    </row>
    <row r="61">
      <c r="A61" s="13" t="n">
        <v>60</v>
      </c>
      <c r="B61" s="14" t="inlineStr">
        <is>
          <t>IE.ECM.ENT.TRN</t>
        </is>
      </c>
      <c r="C61" s="15" t="inlineStr">
        <is>
          <t>E-sales as share of enterprise turnover</t>
        </is>
      </c>
      <c r="D61" s="13" t="inlineStr">
        <is>
          <t>IE</t>
        </is>
      </c>
      <c r="E61" s="13" t="n">
        <v>2024</v>
      </c>
      <c r="F61" s="16" t="n">
        <v>38.25</v>
      </c>
      <c r="G61" s="13" t="inlineStr">
        <is>
          <t>%</t>
        </is>
      </c>
      <c r="H61" s="15" t="inlineStr">
        <is>
          <t>% of total enterprise turnover</t>
        </is>
      </c>
      <c r="I61" s="13" t="inlineStr"/>
      <c r="J61" s="14" t="inlineStr">
        <is>
          <t>ES5</t>
        </is>
      </c>
      <c r="K61" s="13" t="inlineStr">
        <is>
          <t>2026-09-12</t>
        </is>
      </c>
      <c r="L61" s="15" t="inlineStr">
        <is>
          <t>Highest in EU.</t>
        </is>
      </c>
    </row>
    <row r="62">
      <c r="A62" s="18" t="n">
        <v>61</v>
      </c>
      <c r="B62" s="19" t="inlineStr">
        <is>
          <t>BE.ECM.ENT.TRN</t>
        </is>
      </c>
      <c r="C62" s="20" t="inlineStr">
        <is>
          <t>E-sales as share of enterprise turnover</t>
        </is>
      </c>
      <c r="D62" s="18" t="inlineStr">
        <is>
          <t>BE</t>
        </is>
      </c>
      <c r="E62" s="18" t="n">
        <v>2024</v>
      </c>
      <c r="F62" s="22" t="n">
        <v>29.51</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SE.ECM.ENT.TRN</t>
        </is>
      </c>
      <c r="C63" s="20" t="inlineStr">
        <is>
          <t>E-sales as share of enterprise turnover</t>
        </is>
      </c>
      <c r="D63" s="18" t="inlineStr">
        <is>
          <t>SE</t>
        </is>
      </c>
      <c r="E63" s="18" t="n">
        <v>2024</v>
      </c>
      <c r="F63" s="22" t="n">
        <v>26.32</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CZ.ECM.ENT.TRN</t>
        </is>
      </c>
      <c r="C64" s="20" t="inlineStr">
        <is>
          <t>E-sales as share of enterprise turnover</t>
        </is>
      </c>
      <c r="D64" s="18" t="inlineStr">
        <is>
          <t>CZ</t>
        </is>
      </c>
      <c r="E64" s="18" t="n">
        <v>2024</v>
      </c>
      <c r="F64" s="22" t="n">
        <v>25.65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LU.ECM.ENT.TRN</t>
        </is>
      </c>
      <c r="C65" s="20" t="inlineStr">
        <is>
          <t>E-sales as share of enterprise turnover</t>
        </is>
      </c>
      <c r="D65" s="18" t="inlineStr">
        <is>
          <t>LU</t>
        </is>
      </c>
      <c r="E65" s="18" t="n">
        <v>2024</v>
      </c>
      <c r="F65" s="22" t="n">
        <v>23.86</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HU.ECM.ENT.TRN</t>
        </is>
      </c>
      <c r="C66" s="20" t="inlineStr">
        <is>
          <t>E-sales as share of enterprise turnover</t>
        </is>
      </c>
      <c r="D66" s="18" t="inlineStr">
        <is>
          <t>HU</t>
        </is>
      </c>
      <c r="E66" s="18" t="n">
        <v>2024</v>
      </c>
      <c r="F66" s="22" t="n">
        <v>21.35</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DE.ECM.ENT.TRN</t>
        </is>
      </c>
      <c r="C67" s="20" t="inlineStr">
        <is>
          <t>E-sales as share of enterprise turnover</t>
        </is>
      </c>
      <c r="D67" s="18" t="inlineStr">
        <is>
          <t>DE</t>
        </is>
      </c>
      <c r="E67" s="18" t="n">
        <v>2024</v>
      </c>
      <c r="F67" s="22" t="n">
        <v>19.05</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AT.ECM.ENT.TRN</t>
        </is>
      </c>
      <c r="C68" s="20" t="inlineStr">
        <is>
          <t>E-sales as share of enterprise turnover</t>
        </is>
      </c>
      <c r="D68" s="18" t="inlineStr">
        <is>
          <t>AT</t>
        </is>
      </c>
      <c r="E68" s="18" t="n">
        <v>2024</v>
      </c>
      <c r="F68" s="22" t="n">
        <v>18.96</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HR.ECM.ENT.TRN</t>
        </is>
      </c>
      <c r="C69" s="20" t="inlineStr">
        <is>
          <t>E-sales as share of enterprise turnover</t>
        </is>
      </c>
      <c r="D69" s="18" t="inlineStr">
        <is>
          <t>HR</t>
        </is>
      </c>
      <c r="E69" s="18" t="n">
        <v>2024</v>
      </c>
      <c r="F69" s="22" t="n">
        <v>18.48</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ES.ECM.ENT.TRN</t>
        </is>
      </c>
      <c r="C70" s="20" t="inlineStr">
        <is>
          <t>E-sales as share of enterprise turnover</t>
        </is>
      </c>
      <c r="D70" s="18" t="inlineStr">
        <is>
          <t>ES</t>
        </is>
      </c>
      <c r="E70" s="18" t="n">
        <v>2024</v>
      </c>
      <c r="F70" s="22" t="n">
        <v>18.27</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PL.ECM.ENT.TRN</t>
        </is>
      </c>
      <c r="C71" s="20" t="inlineStr">
        <is>
          <t>E-sales as share of enterprise turnover</t>
        </is>
      </c>
      <c r="D71" s="18" t="inlineStr">
        <is>
          <t>PL</t>
        </is>
      </c>
      <c r="E71" s="18" t="n">
        <v>2024</v>
      </c>
      <c r="F71" s="22" t="n">
        <v>17.66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SI.ECM.ENT.TRN</t>
        </is>
      </c>
      <c r="C72" s="20" t="inlineStr">
        <is>
          <t>E-sales as share of enterprise turnover</t>
        </is>
      </c>
      <c r="D72" s="18" t="inlineStr">
        <is>
          <t>SI</t>
        </is>
      </c>
      <c r="E72" s="18" t="n">
        <v>2024</v>
      </c>
      <c r="F72" s="22" t="n">
        <v>16.78</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IT.ECM.ENT.TRN</t>
        </is>
      </c>
      <c r="C73" s="20" t="inlineStr">
        <is>
          <t>E-sales as share of enterprise turnover</t>
        </is>
      </c>
      <c r="D73" s="18" t="inlineStr">
        <is>
          <t>IT</t>
        </is>
      </c>
      <c r="E73" s="18" t="n">
        <v>2024</v>
      </c>
      <c r="F73" s="22" t="n">
        <v>15.66</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MT.ECM.ENT.TRN</t>
        </is>
      </c>
      <c r="C74" s="20" t="inlineStr">
        <is>
          <t>E-sales as share of enterprise turnover</t>
        </is>
      </c>
      <c r="D74" s="18" t="inlineStr">
        <is>
          <t>MT</t>
        </is>
      </c>
      <c r="E74" s="18" t="n">
        <v>2024</v>
      </c>
      <c r="F74" s="22" t="n">
        <v>15.46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FR.ECM.ENT.TRN</t>
        </is>
      </c>
      <c r="C75" s="20" t="inlineStr">
        <is>
          <t>E-sales as share of enterprise turnover</t>
        </is>
      </c>
      <c r="D75" s="18" t="inlineStr">
        <is>
          <t>FR</t>
        </is>
      </c>
      <c r="E75" s="18" t="n">
        <v>2024</v>
      </c>
      <c r="F75" s="22" t="n">
        <v>14.25</v>
      </c>
      <c r="G75" s="18" t="inlineStr">
        <is>
          <t>%</t>
        </is>
      </c>
      <c r="H75" s="20" t="inlineStr">
        <is>
          <t>% of total enterprise turnover</t>
        </is>
      </c>
      <c r="I75" s="18" t="inlineStr">
        <is>
          <t>u</t>
        </is>
      </c>
      <c r="J75" s="19" t="inlineStr">
        <is>
          <t>ES6</t>
        </is>
      </c>
      <c r="K75" s="18" t="inlineStr">
        <is>
          <t>2026-09-12</t>
        </is>
      </c>
      <c r="L75" s="20" t="inlineStr"/>
    </row>
    <row r="76">
      <c r="A76" s="18" t="n">
        <v>75</v>
      </c>
      <c r="B76" s="19" t="inlineStr">
        <is>
          <t>CY.ECM.ENT.TRN</t>
        </is>
      </c>
      <c r="C76" s="20" t="inlineStr">
        <is>
          <t>E-sales as share of enterprise turnover</t>
        </is>
      </c>
      <c r="D76" s="18" t="inlineStr">
        <is>
          <t>CY</t>
        </is>
      </c>
      <c r="E76" s="18" t="n">
        <v>2024</v>
      </c>
      <c r="F76" s="22" t="n">
        <v>13.36</v>
      </c>
      <c r="G76" s="18" t="inlineStr">
        <is>
          <t>%</t>
        </is>
      </c>
      <c r="H76" s="20" t="inlineStr">
        <is>
          <t>% of total enterprise turnover</t>
        </is>
      </c>
      <c r="I76" s="18" t="inlineStr">
        <is>
          <t>u</t>
        </is>
      </c>
      <c r="J76" s="19" t="inlineStr">
        <is>
          <t>ES6</t>
        </is>
      </c>
      <c r="K76" s="18" t="inlineStr">
        <is>
          <t>2026-09-12</t>
        </is>
      </c>
      <c r="L76" s="20" t="inlineStr"/>
    </row>
    <row r="77">
      <c r="A77" s="18" t="n">
        <v>76</v>
      </c>
      <c r="B77" s="19" t="inlineStr">
        <is>
          <t>BG.ECM.ENT.TRN</t>
        </is>
      </c>
      <c r="C77" s="20" t="inlineStr">
        <is>
          <t>E-sales as share of enterprise turnover</t>
        </is>
      </c>
      <c r="D77" s="18" t="inlineStr">
        <is>
          <t>BG</t>
        </is>
      </c>
      <c r="E77" s="18" t="n">
        <v>2024</v>
      </c>
      <c r="F77" s="22" t="n">
        <v>7.63</v>
      </c>
      <c r="G77" s="18" t="inlineStr">
        <is>
          <t>%</t>
        </is>
      </c>
      <c r="H77" s="20" t="inlineStr">
        <is>
          <t>% of total enterprise turnover</t>
        </is>
      </c>
      <c r="I77" s="18" t="inlineStr">
        <is>
          <t>u</t>
        </is>
      </c>
      <c r="J77" s="19" t="inlineStr">
        <is>
          <t>ES6</t>
        </is>
      </c>
      <c r="K77" s="18" t="inlineStr">
        <is>
          <t>2026-09-12</t>
        </is>
      </c>
      <c r="L77" s="20" t="inlineStr"/>
    </row>
    <row r="78">
      <c r="A78" s="13" t="n">
        <v>77</v>
      </c>
      <c r="B78" s="14" t="inlineStr">
        <is>
          <t>DK.ECM.ENT.SHR</t>
        </is>
      </c>
      <c r="C78" s="15" t="inlineStr">
        <is>
          <t>Enterprises making e-sales</t>
        </is>
      </c>
      <c r="D78" s="13" t="inlineStr">
        <is>
          <t>DK</t>
        </is>
      </c>
      <c r="E78" s="13" t="n">
        <v>2024</v>
      </c>
      <c r="F78" s="16" t="n">
        <v>38.78</v>
      </c>
      <c r="G78" s="13" t="inlineStr">
        <is>
          <t>%</t>
        </is>
      </c>
      <c r="H78" s="15" t="inlineStr">
        <is>
          <t>% of enterprises</t>
        </is>
      </c>
      <c r="I78" s="13" t="inlineStr"/>
      <c r="J78" s="14" t="inlineStr">
        <is>
          <t>ES5</t>
        </is>
      </c>
      <c r="K78" s="13" t="inlineStr">
        <is>
          <t>2026-09-12</t>
        </is>
      </c>
      <c r="L78" s="15" t="inlineStr">
        <is>
          <t>2nd in EU after Lithuania.</t>
        </is>
      </c>
    </row>
    <row r="79">
      <c r="A79" s="13" t="n">
        <v>78</v>
      </c>
      <c r="B79" s="14" t="inlineStr">
        <is>
          <t>LT.ECM.ENT.SHR</t>
        </is>
      </c>
      <c r="C79" s="15" t="inlineStr">
        <is>
          <t>Enterprises making e-sales</t>
        </is>
      </c>
      <c r="D79" s="13" t="inlineStr">
        <is>
          <t>LT</t>
        </is>
      </c>
      <c r="E79" s="13" t="n">
        <v>2024</v>
      </c>
      <c r="F79" s="16" t="n">
        <v>43.03</v>
      </c>
      <c r="G79" s="13" t="inlineStr">
        <is>
          <t>%</t>
        </is>
      </c>
      <c r="H79" s="15" t="inlineStr">
        <is>
          <t>% of enterprises</t>
        </is>
      </c>
      <c r="I79" s="13" t="inlineStr"/>
      <c r="J79" s="14" t="inlineStr">
        <is>
          <t>ES5</t>
        </is>
      </c>
      <c r="K79" s="13" t="inlineStr">
        <is>
          <t>2026-09-12</t>
        </is>
      </c>
      <c r="L79" s="15" t="inlineStr">
        <is>
          <t>Highest in EU.</t>
        </is>
      </c>
    </row>
    <row r="80">
      <c r="A80" s="13" t="n">
        <v>79</v>
      </c>
      <c r="B80" s="14" t="inlineStr">
        <is>
          <t>DK.DGP.EXMP</t>
        </is>
      </c>
      <c r="C80" s="15" t="inlineStr">
        <is>
          <t>Citizens formally exempt from Digital Post</t>
        </is>
      </c>
      <c r="D80" s="13" t="inlineStr">
        <is>
          <t>DK</t>
        </is>
      </c>
      <c r="E80" s="13" t="n">
        <v>2025</v>
      </c>
      <c r="F80" s="16" t="n">
        <v>5</v>
      </c>
      <c r="G80" s="13" t="inlineStr">
        <is>
          <t>%</t>
        </is>
      </c>
      <c r="H80" s="15" t="inlineStr">
        <is>
          <t>% of citizens aged 15+ resident in Denmark</t>
        </is>
      </c>
      <c r="I80" s="13" t="inlineStr"/>
      <c r="J80" s="14" t="inlineStr">
        <is>
          <t>DG1</t>
        </is>
      </c>
      <c r="K80" s="13" t="inlineStr">
        <is>
          <t>2026-09-12</t>
        </is>
      </c>
      <c r="L80" s="15" t="inlineStr">
        <is>
          <t>April 2025; approx. 256,000 citizens.</t>
        </is>
      </c>
    </row>
    <row r="81">
      <c r="A81" s="13" t="n">
        <v>80</v>
      </c>
      <c r="B81" s="14" t="inlineStr">
        <is>
          <t>DK.DGP.EXMP</t>
        </is>
      </c>
      <c r="C81" s="15" t="inlineStr">
        <is>
          <t>Citizens formally exempt from Digital Post</t>
        </is>
      </c>
      <c r="D81" s="13" t="inlineStr">
        <is>
          <t>DK</t>
        </is>
      </c>
      <c r="E81" s="13" t="n">
        <v>2026</v>
      </c>
      <c r="F81" s="16" t="n">
        <v>4.7</v>
      </c>
      <c r="G81" s="13" t="inlineStr">
        <is>
          <t>%</t>
        </is>
      </c>
      <c r="H81" s="15" t="inlineStr">
        <is>
          <t>% of citizens aged 15+ resident in Denmark</t>
        </is>
      </c>
      <c r="I81" s="13" t="inlineStr"/>
      <c r="J81" s="14" t="inlineStr">
        <is>
          <t>DG1</t>
        </is>
      </c>
      <c r="K81" s="13" t="inlineStr">
        <is>
          <t>2026-09-12</t>
        </is>
      </c>
      <c r="L81" s="15" t="inlineStr">
        <is>
          <t>Q1 2026; 238,479 citizens. 95.2% enrolled.</t>
        </is>
      </c>
    </row>
    <row r="82">
      <c r="A82" s="18" t="n">
        <v>81</v>
      </c>
      <c r="B82" s="19" t="inlineStr">
        <is>
          <t>DK.DGP.EXMP.7584</t>
        </is>
      </c>
      <c r="C82" s="20" t="inlineStr">
        <is>
          <t>Exemption rate, age 75-84</t>
        </is>
      </c>
      <c r="D82" s="18" t="inlineStr">
        <is>
          <t>DK</t>
        </is>
      </c>
      <c r="E82" s="18" t="n">
        <v>2022</v>
      </c>
      <c r="F82" s="22" t="n">
        <v>20</v>
      </c>
      <c r="G82" s="18" t="inlineStr">
        <is>
          <t>%</t>
        </is>
      </c>
      <c r="H82" s="20" t="inlineStr">
        <is>
          <t>% of age group</t>
        </is>
      </c>
      <c r="I82" s="18" t="inlineStr">
        <is>
          <t>e</t>
        </is>
      </c>
      <c r="J82" s="19" t="inlineStr">
        <is>
          <t>DG1</t>
        </is>
      </c>
      <c r="K82" s="18" t="inlineStr">
        <is>
          <t>2026-09-12</t>
        </is>
      </c>
      <c r="L82" s="20" t="inlineStr">
        <is>
          <t>Source states 'nearly one in five'.</t>
        </is>
      </c>
    </row>
    <row r="83">
      <c r="A83" s="18" t="n">
        <v>82</v>
      </c>
      <c r="B83" s="19" t="inlineStr">
        <is>
          <t>DK.DGP.EXMP.85P</t>
        </is>
      </c>
      <c r="C83" s="20" t="inlineStr">
        <is>
          <t>Exemption rate, age 85+</t>
        </is>
      </c>
      <c r="D83" s="18" t="inlineStr">
        <is>
          <t>DK</t>
        </is>
      </c>
      <c r="E83" s="18" t="n">
        <v>2022</v>
      </c>
      <c r="F83" s="22" t="n">
        <v>33</v>
      </c>
      <c r="G83" s="18" t="inlineStr">
        <is>
          <t>%</t>
        </is>
      </c>
      <c r="H83" s="20" t="inlineStr">
        <is>
          <t>% of age group</t>
        </is>
      </c>
      <c r="I83" s="18" t="inlineStr">
        <is>
          <t>e</t>
        </is>
      </c>
      <c r="J83" s="19" t="inlineStr">
        <is>
          <t>DG1</t>
        </is>
      </c>
      <c r="K83" s="18" t="inlineStr">
        <is>
          <t>2026-09-12</t>
        </is>
      </c>
      <c r="L83" s="20" t="inlineStr">
        <is>
          <t>Source states 'roughly one in three'.</t>
        </is>
      </c>
    </row>
    <row r="84">
      <c r="A84" s="13" t="n">
        <v>83</v>
      </c>
      <c r="B84" s="14" t="inlineStr">
        <is>
          <t>DK.DGX.NOUSE</t>
        </is>
      </c>
      <c r="C84" s="15" t="inlineStr">
        <is>
          <t>Do not use digital public services at all</t>
        </is>
      </c>
      <c r="D84" s="13" t="inlineStr">
        <is>
          <t>DK</t>
        </is>
      </c>
      <c r="E84" s="13" t="n">
        <v>2026</v>
      </c>
      <c r="F84" s="16" t="n">
        <v>6.5</v>
      </c>
      <c r="G84" s="13" t="inlineStr">
        <is>
          <t>%</t>
        </is>
      </c>
      <c r="H84" s="15" t="inlineStr">
        <is>
          <t>% of population</t>
        </is>
      </c>
      <c r="I84" s="13" t="inlineStr"/>
      <c r="J84" s="14" t="inlineStr">
        <is>
          <t>EC1</t>
        </is>
      </c>
      <c r="K84" s="13" t="inlineStr">
        <is>
          <t>2026-09-12</t>
        </is>
      </c>
      <c r="L84" s="15" t="inlineStr">
        <is>
          <t>Agency for Digital Government estimate.</t>
        </is>
      </c>
    </row>
    <row r="85">
      <c r="A85" s="13" t="n">
        <v>84</v>
      </c>
      <c r="B85" s="14" t="inlineStr">
        <is>
          <t>DK.DGX.DIFF</t>
        </is>
      </c>
      <c r="C85" s="15" t="inlineStr">
        <is>
          <t>Face difficulties using digital public services</t>
        </is>
      </c>
      <c r="D85" s="13" t="inlineStr">
        <is>
          <t>DK</t>
        </is>
      </c>
      <c r="E85" s="13" t="n">
        <v>2026</v>
      </c>
      <c r="F85" s="16" t="n">
        <v>16.5</v>
      </c>
      <c r="G85" s="13" t="inlineStr">
        <is>
          <t>%</t>
        </is>
      </c>
      <c r="H85" s="15" t="inlineStr">
        <is>
          <t>% of population</t>
        </is>
      </c>
      <c r="I85" s="13" t="inlineStr"/>
      <c r="J85" s="14" t="inlineStr">
        <is>
          <t>EC1</t>
        </is>
      </c>
      <c r="K85" s="13" t="inlineStr">
        <is>
          <t>2026-09-12</t>
        </is>
      </c>
      <c r="L85" s="15" t="inlineStr">
        <is>
          <t>Agency for Digital Government estimate.</t>
        </is>
      </c>
    </row>
    <row r="86">
      <c r="A86" s="18" t="n">
        <v>85</v>
      </c>
      <c r="B86" s="19" t="inlineStr">
        <is>
          <t>DK.DGX.DISADV.LO</t>
        </is>
      </c>
      <c r="C86" s="20" t="inlineStr">
        <is>
          <t>'Digitally disadvantaged' - lower bound</t>
        </is>
      </c>
      <c r="D86" s="18" t="inlineStr">
        <is>
          <t>DK</t>
        </is>
      </c>
      <c r="E86" s="18" t="n">
        <v>2025</v>
      </c>
      <c r="F86" s="22" t="n">
        <v>17</v>
      </c>
      <c r="G86" s="18" t="inlineStr">
        <is>
          <t>%</t>
        </is>
      </c>
      <c r="H86" s="20" t="inlineStr">
        <is>
          <t>% of adult population</t>
        </is>
      </c>
      <c r="I86" s="18" t="inlineStr">
        <is>
          <t>e</t>
        </is>
      </c>
      <c r="J86" s="19" t="inlineStr">
        <is>
          <t>DG2</t>
        </is>
      </c>
      <c r="K86" s="18" t="inlineStr">
        <is>
          <t>2026-09-12</t>
        </is>
      </c>
      <c r="L86" s="20" t="inlineStr">
        <is>
          <t>Published as a 17-22% range.</t>
        </is>
      </c>
    </row>
    <row r="87">
      <c r="A87" s="18" t="n">
        <v>86</v>
      </c>
      <c r="B87" s="19" t="inlineStr">
        <is>
          <t>DK.DGX.DISADV.HI</t>
        </is>
      </c>
      <c r="C87" s="20" t="inlineStr">
        <is>
          <t>'Digitally disadvantaged' - upper bound</t>
        </is>
      </c>
      <c r="D87" s="18" t="inlineStr">
        <is>
          <t>DK</t>
        </is>
      </c>
      <c r="E87" s="18" t="n">
        <v>2025</v>
      </c>
      <c r="F87" s="22" t="n">
        <v>22</v>
      </c>
      <c r="G87" s="18" t="inlineStr">
        <is>
          <t>%</t>
        </is>
      </c>
      <c r="H87" s="20" t="inlineStr">
        <is>
          <t>% of adult population</t>
        </is>
      </c>
      <c r="I87" s="18" t="inlineStr">
        <is>
          <t>e</t>
        </is>
      </c>
      <c r="J87" s="19" t="inlineStr">
        <is>
          <t>DG2</t>
        </is>
      </c>
      <c r="K87" s="18" t="inlineStr">
        <is>
          <t>2026-09-12</t>
        </is>
      </c>
      <c r="L87" s="20" t="inlineStr">
        <is>
          <t>Published as a 17-22% range.</t>
        </is>
      </c>
    </row>
    <row r="88">
      <c r="A88" s="18" t="n">
        <v>87</v>
      </c>
      <c r="B88" s="19" t="inlineStr">
        <is>
          <t>DK.DGX.JUST</t>
        </is>
      </c>
      <c r="C88" s="20" t="inlineStr">
        <is>
          <t>'Digitally disadvantaged' - Justitia estimate</t>
        </is>
      </c>
      <c r="D88" s="18" t="inlineStr">
        <is>
          <t>DK</t>
        </is>
      </c>
      <c r="E88" s="18" t="n">
        <v>2022</v>
      </c>
      <c r="F88" s="22" t="n">
        <v>25</v>
      </c>
      <c r="G88" s="18" t="inlineStr">
        <is>
          <t>%</t>
        </is>
      </c>
      <c r="H88" s="20" t="inlineStr">
        <is>
          <t>% of adult population</t>
        </is>
      </c>
      <c r="I88" s="18" t="inlineStr">
        <is>
          <t>e</t>
        </is>
      </c>
      <c r="J88" s="19" t="inlineStr">
        <is>
          <t>JU1</t>
        </is>
      </c>
      <c r="K88" s="18" t="inlineStr">
        <is>
          <t>2026-09-12</t>
        </is>
      </c>
      <c r="L88" s="20" t="inlineStr">
        <is>
          <t>Report states 'up to a quarter of the adult population'.</t>
        </is>
      </c>
    </row>
    <row r="89">
      <c r="A89" s="13" t="n">
        <v>88</v>
      </c>
      <c r="B89" s="14" t="inlineStr">
        <is>
          <t>DK.TRU.DPS</t>
        </is>
      </c>
      <c r="C89" s="15" t="inlineStr">
        <is>
          <t>Trust in digital public solutions</t>
        </is>
      </c>
      <c r="D89" s="13" t="inlineStr">
        <is>
          <t>DK</t>
        </is>
      </c>
      <c r="E89" s="13" t="n">
        <v>2024</v>
      </c>
      <c r="F89" s="16" t="n">
        <v>82</v>
      </c>
      <c r="G89" s="13" t="inlineStr">
        <is>
          <t>%</t>
        </is>
      </c>
      <c r="H89" s="15" t="inlineStr">
        <is>
          <t>% of population</t>
        </is>
      </c>
      <c r="I89" s="13" t="inlineStr"/>
      <c r="J89" s="14" t="inlineStr">
        <is>
          <t>EC1</t>
        </is>
      </c>
      <c r="K89" s="13" t="inlineStr">
        <is>
          <t>2026-09-12</t>
        </is>
      </c>
      <c r="L89" s="15" t="inlineStr"/>
    </row>
    <row r="90">
      <c r="A90" s="13" t="n">
        <v>89</v>
      </c>
      <c r="B90" s="14" t="inlineStr">
        <is>
          <t>DK.TRU.DPS</t>
        </is>
      </c>
      <c r="C90" s="15" t="inlineStr">
        <is>
          <t>Trust in digital public solutions</t>
        </is>
      </c>
      <c r="D90" s="13" t="inlineStr">
        <is>
          <t>DK</t>
        </is>
      </c>
      <c r="E90" s="13" t="n">
        <v>2025</v>
      </c>
      <c r="F90" s="16" t="n">
        <v>84</v>
      </c>
      <c r="G90" s="13" t="inlineStr">
        <is>
          <t>%</t>
        </is>
      </c>
      <c r="H90" s="15" t="inlineStr">
        <is>
          <t>% of population</t>
        </is>
      </c>
      <c r="I90" s="13" t="inlineStr"/>
      <c r="J90" s="14" t="inlineStr">
        <is>
          <t>EC1</t>
        </is>
      </c>
      <c r="K90" s="13" t="inlineStr">
        <is>
          <t>2026-09-12</t>
        </is>
      </c>
      <c r="L90" s="15" t="inlineStr">
        <is>
          <t>Record high.</t>
        </is>
      </c>
    </row>
    <row r="91">
      <c r="A91" s="13" t="n">
        <v>90</v>
      </c>
      <c r="B91" s="14" t="inlineStr">
        <is>
          <t>DK.TRU.DGP.SEC</t>
        </is>
      </c>
      <c r="C91" s="15" t="inlineStr">
        <is>
          <t>Perceived security of Digital Post</t>
        </is>
      </c>
      <c r="D91" s="13" t="inlineStr">
        <is>
          <t>DK</t>
        </is>
      </c>
      <c r="E91" s="13" t="n">
        <v>2017</v>
      </c>
      <c r="F91" s="16" t="n">
        <v>77</v>
      </c>
      <c r="G91" s="13" t="inlineStr">
        <is>
          <t>%</t>
        </is>
      </c>
      <c r="H91" s="15" t="inlineStr">
        <is>
          <t>% of population</t>
        </is>
      </c>
      <c r="I91" s="13" t="inlineStr"/>
      <c r="J91" s="14" t="inlineStr">
        <is>
          <t>EC1</t>
        </is>
      </c>
      <c r="K91" s="13" t="inlineStr">
        <is>
          <t>2026-09-12</t>
        </is>
      </c>
      <c r="L91" s="15" t="inlineStr"/>
    </row>
    <row r="92">
      <c r="A92" s="13" t="n">
        <v>91</v>
      </c>
      <c r="B92" s="14" t="inlineStr">
        <is>
          <t>DK.TRU.DGP.SEC</t>
        </is>
      </c>
      <c r="C92" s="15" t="inlineStr">
        <is>
          <t>Perceived security of Digital Post</t>
        </is>
      </c>
      <c r="D92" s="13" t="inlineStr">
        <is>
          <t>DK</t>
        </is>
      </c>
      <c r="E92" s="13" t="n">
        <v>2025</v>
      </c>
      <c r="F92" s="16" t="n">
        <v>89</v>
      </c>
      <c r="G92" s="13" t="inlineStr">
        <is>
          <t>%</t>
        </is>
      </c>
      <c r="H92" s="15" t="inlineStr">
        <is>
          <t>% of population</t>
        </is>
      </c>
      <c r="I92" s="13" t="inlineStr"/>
      <c r="J92" s="14" t="inlineStr">
        <is>
          <t>EC1</t>
        </is>
      </c>
      <c r="K92" s="13" t="inlineStr">
        <is>
          <t>2026-09-12</t>
        </is>
      </c>
      <c r="L92" s="15" t="inlineStr"/>
    </row>
    <row r="93">
      <c r="A93" s="13" t="n">
        <v>92</v>
      </c>
      <c r="B93" s="14" t="inlineStr">
        <is>
          <t>DK.SKL.1624</t>
        </is>
      </c>
      <c r="C93" s="15" t="inlineStr">
        <is>
          <t>At least basic digital skills, age 16-24</t>
        </is>
      </c>
      <c r="D93" s="13" t="inlineStr">
        <is>
          <t>DK</t>
        </is>
      </c>
      <c r="E93" s="13" t="n">
        <v>2025</v>
      </c>
      <c r="F93" s="16" t="n">
        <v>92.06</v>
      </c>
      <c r="G93" s="13" t="inlineStr">
        <is>
          <t>%</t>
        </is>
      </c>
      <c r="H93" s="15" t="inlineStr">
        <is>
          <t>% of age group</t>
        </is>
      </c>
      <c r="I93" s="13" t="inlineStr"/>
      <c r="J93" s="14" t="inlineStr">
        <is>
          <t>EC1</t>
        </is>
      </c>
      <c r="K93" s="13" t="inlineStr">
        <is>
          <t>2026-09-12</t>
        </is>
      </c>
      <c r="L93" s="15" t="inlineStr">
        <is>
          <t>EU average carried as EU.SKL.1624.</t>
        </is>
      </c>
    </row>
    <row r="94">
      <c r="A94" s="13" t="n">
        <v>93</v>
      </c>
      <c r="B94" s="14" t="inlineStr">
        <is>
          <t>DK.SKL.2554</t>
        </is>
      </c>
      <c r="C94" s="15" t="inlineStr">
        <is>
          <t>At least basic digital skills, age 25-54</t>
        </is>
      </c>
      <c r="D94" s="13" t="inlineStr">
        <is>
          <t>DK</t>
        </is>
      </c>
      <c r="E94" s="13" t="n">
        <v>2025</v>
      </c>
      <c r="F94" s="16" t="n">
        <v>86.89</v>
      </c>
      <c r="G94" s="13" t="inlineStr">
        <is>
          <t>%</t>
        </is>
      </c>
      <c r="H94" s="15" t="inlineStr">
        <is>
          <t>% of age group</t>
        </is>
      </c>
      <c r="I94" s="13" t="inlineStr"/>
      <c r="J94" s="14" t="inlineStr">
        <is>
          <t>EC1</t>
        </is>
      </c>
      <c r="K94" s="13" t="inlineStr">
        <is>
          <t>2026-09-12</t>
        </is>
      </c>
      <c r="L94" s="15" t="inlineStr">
        <is>
          <t>EU average carried as EU.SKL.2554.</t>
        </is>
      </c>
    </row>
    <row r="95">
      <c r="A95" s="13" t="n">
        <v>94</v>
      </c>
      <c r="B95" s="14" t="inlineStr">
        <is>
          <t>DK.SKL.5574</t>
        </is>
      </c>
      <c r="C95" s="15" t="inlineStr">
        <is>
          <t>At least basic digital skills, age 55-74</t>
        </is>
      </c>
      <c r="D95" s="13" t="inlineStr">
        <is>
          <t>DK</t>
        </is>
      </c>
      <c r="E95" s="13" t="n">
        <v>2025</v>
      </c>
      <c r="F95" s="16" t="n">
        <v>67.81</v>
      </c>
      <c r="G95" s="13" t="inlineStr">
        <is>
          <t>%</t>
        </is>
      </c>
      <c r="H95" s="15" t="inlineStr">
        <is>
          <t>% of age group</t>
        </is>
      </c>
      <c r="I95" s="13" t="inlineStr"/>
      <c r="J95" s="14" t="inlineStr">
        <is>
          <t>EC1</t>
        </is>
      </c>
      <c r="K95" s="13" t="inlineStr">
        <is>
          <t>2026-09-12</t>
        </is>
      </c>
      <c r="L95" s="15" t="inlineStr">
        <is>
          <t>EU average carried as EU.SKL.5574.</t>
        </is>
      </c>
    </row>
    <row r="96">
      <c r="A96" s="13" t="n">
        <v>95</v>
      </c>
      <c r="B96" s="14" t="inlineStr">
        <is>
          <t>EU.SKL.1624</t>
        </is>
      </c>
      <c r="C96" s="15" t="inlineStr">
        <is>
          <t>At least basic digital skills, age 16-24</t>
        </is>
      </c>
      <c r="D96" s="13" t="inlineStr">
        <is>
          <t>EU27</t>
        </is>
      </c>
      <c r="E96" s="13" t="n">
        <v>2025</v>
      </c>
      <c r="F96" s="16" t="n">
        <v>74.55</v>
      </c>
      <c r="G96" s="13" t="inlineStr">
        <is>
          <t>%</t>
        </is>
      </c>
      <c r="H96" s="15" t="inlineStr">
        <is>
          <t>% of age group</t>
        </is>
      </c>
      <c r="I96" s="13" t="inlineStr"/>
      <c r="J96" s="14" t="inlineStr">
        <is>
          <t>EC1</t>
        </is>
      </c>
      <c r="K96" s="13" t="inlineStr">
        <is>
          <t>2026-09-12</t>
        </is>
      </c>
      <c r="L96" s="15" t="inlineStr">
        <is>
          <t>Comparator for DK.SKL.1624.</t>
        </is>
      </c>
    </row>
    <row r="97">
      <c r="A97" s="13" t="n">
        <v>96</v>
      </c>
      <c r="B97" s="14" t="inlineStr">
        <is>
          <t>EU.SKL.2554</t>
        </is>
      </c>
      <c r="C97" s="15" t="inlineStr">
        <is>
          <t>At least basic digital skills, age 25-54</t>
        </is>
      </c>
      <c r="D97" s="13" t="inlineStr">
        <is>
          <t>EU27</t>
        </is>
      </c>
      <c r="E97" s="13" t="n">
        <v>2025</v>
      </c>
      <c r="F97" s="16" t="n">
        <v>68.56999999999999</v>
      </c>
      <c r="G97" s="13" t="inlineStr">
        <is>
          <t>%</t>
        </is>
      </c>
      <c r="H97" s="15" t="inlineStr">
        <is>
          <t>% of age group</t>
        </is>
      </c>
      <c r="I97" s="13" t="inlineStr"/>
      <c r="J97" s="14" t="inlineStr">
        <is>
          <t>EC1</t>
        </is>
      </c>
      <c r="K97" s="13" t="inlineStr">
        <is>
          <t>2026-09-12</t>
        </is>
      </c>
      <c r="L97" s="15" t="inlineStr">
        <is>
          <t>Comparator for DK.SKL.2554.</t>
        </is>
      </c>
    </row>
    <row r="98">
      <c r="A98" s="13" t="n">
        <v>97</v>
      </c>
      <c r="B98" s="14" t="inlineStr">
        <is>
          <t>EU.SKL.5574</t>
        </is>
      </c>
      <c r="C98" s="15" t="inlineStr">
        <is>
          <t>At least basic digital skills, age 55-74</t>
        </is>
      </c>
      <c r="D98" s="13" t="inlineStr">
        <is>
          <t>EU27</t>
        </is>
      </c>
      <c r="E98" s="13" t="n">
        <v>2025</v>
      </c>
      <c r="F98" s="16" t="n">
        <v>42.6</v>
      </c>
      <c r="G98" s="13" t="inlineStr">
        <is>
          <t>%</t>
        </is>
      </c>
      <c r="H98" s="15" t="inlineStr">
        <is>
          <t>% of age group</t>
        </is>
      </c>
      <c r="I98" s="13" t="inlineStr"/>
      <c r="J98" s="14" t="inlineStr">
        <is>
          <t>EC1</t>
        </is>
      </c>
      <c r="K98" s="13" t="inlineStr">
        <is>
          <t>2026-09-12</t>
        </is>
      </c>
      <c r="L98" s="15" t="inlineStr">
        <is>
          <t>Comparator for DK.SKL.5574.</t>
        </is>
      </c>
    </row>
    <row r="99">
      <c r="A99" s="13" t="n">
        <v>98</v>
      </c>
      <c r="B99" s="14" t="inlineStr">
        <is>
          <t>DK.ENT.DII</t>
        </is>
      </c>
      <c r="C99" s="15" t="inlineStr">
        <is>
          <t>SMEs with at least basic digital intensity</t>
        </is>
      </c>
      <c r="D99" s="13" t="inlineStr">
        <is>
          <t>DK</t>
        </is>
      </c>
      <c r="E99" s="13" t="n">
        <v>2025</v>
      </c>
      <c r="F99" s="16" t="n">
        <v>92.45</v>
      </c>
      <c r="G99" s="13" t="inlineStr">
        <is>
          <t>%</t>
        </is>
      </c>
      <c r="H99" s="15" t="inlineStr">
        <is>
          <t>% of SMEs</t>
        </is>
      </c>
      <c r="I99" s="13" t="inlineStr"/>
      <c r="J99" s="14" t="inlineStr">
        <is>
          <t>EC1</t>
        </is>
      </c>
      <c r="K99" s="13" t="inlineStr">
        <is>
          <t>2026-09-12</t>
        </is>
      </c>
      <c r="L99" s="15" t="inlineStr">
        <is>
          <t>EU average 71.39%.</t>
        </is>
      </c>
    </row>
    <row r="100">
      <c r="A100" s="13" t="n">
        <v>99</v>
      </c>
      <c r="B100" s="14" t="inlineStr">
        <is>
          <t>EU.ENT.DII</t>
        </is>
      </c>
      <c r="C100" s="15" t="inlineStr">
        <is>
          <t>SMEs with at least basic digital intensity</t>
        </is>
      </c>
      <c r="D100" s="13" t="inlineStr">
        <is>
          <t>EU27</t>
        </is>
      </c>
      <c r="E100" s="13" t="n">
        <v>2025</v>
      </c>
      <c r="F100" s="16" t="n">
        <v>71.39</v>
      </c>
      <c r="G100" s="13" t="inlineStr">
        <is>
          <t>%</t>
        </is>
      </c>
      <c r="H100" s="15" t="inlineStr">
        <is>
          <t>% of SMEs</t>
        </is>
      </c>
      <c r="I100" s="13" t="inlineStr"/>
      <c r="J100" s="14" t="inlineStr">
        <is>
          <t>EC1</t>
        </is>
      </c>
      <c r="K100" s="13" t="inlineStr">
        <is>
          <t>2026-09-12</t>
        </is>
      </c>
      <c r="L100" s="15" t="inlineStr"/>
    </row>
    <row r="101">
      <c r="A101" s="13" t="n">
        <v>100</v>
      </c>
      <c r="B101" s="14" t="inlineStr">
        <is>
          <t>DK.ENT.AI</t>
        </is>
      </c>
      <c r="C101" s="15" t="inlineStr">
        <is>
          <t>Enterprises adopting AI</t>
        </is>
      </c>
      <c r="D101" s="13" t="inlineStr">
        <is>
          <t>DK</t>
        </is>
      </c>
      <c r="E101" s="13" t="n">
        <v>2025</v>
      </c>
      <c r="F101" s="16" t="n">
        <v>42.03</v>
      </c>
      <c r="G101" s="13" t="inlineStr">
        <is>
          <t>%</t>
        </is>
      </c>
      <c r="H101" s="15" t="inlineStr">
        <is>
          <t>% of enterprises</t>
        </is>
      </c>
      <c r="I101" s="13" t="inlineStr"/>
      <c r="J101" s="14" t="inlineStr">
        <is>
          <t>EC1</t>
        </is>
      </c>
      <c r="K101" s="13" t="inlineStr">
        <is>
          <t>2026-09-12</t>
        </is>
      </c>
      <c r="L101" s="15" t="inlineStr">
        <is>
          <t>EU average 19.95%.</t>
        </is>
      </c>
    </row>
    <row r="102">
      <c r="A102" s="13" t="n">
        <v>101</v>
      </c>
      <c r="B102" s="14" t="inlineStr">
        <is>
          <t>DK.ENT.AI.LRG</t>
        </is>
      </c>
      <c r="C102" s="15" t="inlineStr">
        <is>
          <t>Large enterprises adopting AI</t>
        </is>
      </c>
      <c r="D102" s="13" t="inlineStr">
        <is>
          <t>DK</t>
        </is>
      </c>
      <c r="E102" s="13" t="n">
        <v>2025</v>
      </c>
      <c r="F102" s="16" t="n">
        <v>74.52</v>
      </c>
      <c r="G102" s="13" t="inlineStr">
        <is>
          <t>%</t>
        </is>
      </c>
      <c r="H102" s="15" t="inlineStr">
        <is>
          <t>% of large enterprises (250+)</t>
        </is>
      </c>
      <c r="I102" s="13" t="inlineStr"/>
      <c r="J102" s="14" t="inlineStr">
        <is>
          <t>EC1</t>
        </is>
      </c>
      <c r="K102" s="13" t="inlineStr">
        <is>
          <t>2026-09-12</t>
        </is>
      </c>
      <c r="L102" s="15" t="inlineStr"/>
    </row>
    <row r="103">
      <c r="A103" s="13" t="n">
        <v>102</v>
      </c>
      <c r="B103" s="14" t="inlineStr">
        <is>
          <t>DK.ENT.AI.SME</t>
        </is>
      </c>
      <c r="C103" s="15" t="inlineStr">
        <is>
          <t>SMEs adopting AI</t>
        </is>
      </c>
      <c r="D103" s="13" t="inlineStr">
        <is>
          <t>DK</t>
        </is>
      </c>
      <c r="E103" s="13" t="n">
        <v>2025</v>
      </c>
      <c r="F103" s="16" t="n">
        <v>40.99</v>
      </c>
      <c r="G103" s="13" t="inlineStr">
        <is>
          <t>%</t>
        </is>
      </c>
      <c r="H103" s="15" t="inlineStr">
        <is>
          <t>% of SMEs (10-249)</t>
        </is>
      </c>
      <c r="I103" s="13" t="inlineStr"/>
      <c r="J103" s="14" t="inlineStr">
        <is>
          <t>EC1</t>
        </is>
      </c>
      <c r="K103" s="13" t="inlineStr">
        <is>
          <t>2026-09-12</t>
        </is>
      </c>
      <c r="L103" s="15" t="inlineStr"/>
    </row>
    <row r="104">
      <c r="A104" s="13" t="n">
        <v>103</v>
      </c>
      <c r="B104" s="14" t="inlineStr">
        <is>
          <t>DK.GOV.DPS.CIT</t>
        </is>
      </c>
      <c r="C104" s="15" t="inlineStr">
        <is>
          <t>Digital public services for citizens (score)</t>
        </is>
      </c>
      <c r="D104" s="13" t="inlineStr">
        <is>
          <t>DK</t>
        </is>
      </c>
      <c r="E104" s="13" t="n">
        <v>2025</v>
      </c>
      <c r="F104" s="16" t="n">
        <v>82.2</v>
      </c>
      <c r="G104" s="13" t="inlineStr">
        <is>
          <t>score 0-100</t>
        </is>
      </c>
      <c r="H104" s="15" t="inlineStr">
        <is>
          <t>eGovernment Benchmark score</t>
        </is>
      </c>
      <c r="I104" s="13" t="inlineStr"/>
      <c r="J104" s="14" t="inlineStr">
        <is>
          <t>EC1</t>
        </is>
      </c>
      <c r="K104" s="13" t="inlineStr">
        <is>
          <t>2026-09-12</t>
        </is>
      </c>
      <c r="L104" s="15" t="inlineStr">
        <is>
          <t>BELOW the EU average of 84.64.</t>
        </is>
      </c>
    </row>
    <row r="105">
      <c r="A105" s="13" t="n">
        <v>104</v>
      </c>
      <c r="B105" s="14" t="inlineStr">
        <is>
          <t>EU.GOV.DPS.CIT</t>
        </is>
      </c>
      <c r="C105" s="15" t="inlineStr">
        <is>
          <t>Digital public services for citizens (score)</t>
        </is>
      </c>
      <c r="D105" s="13" t="inlineStr">
        <is>
          <t>EU27</t>
        </is>
      </c>
      <c r="E105" s="13" t="n">
        <v>2025</v>
      </c>
      <c r="F105" s="16" t="n">
        <v>84.64</v>
      </c>
      <c r="G105" s="13" t="inlineStr">
        <is>
          <t>score 0-100</t>
        </is>
      </c>
      <c r="H105" s="15" t="inlineStr">
        <is>
          <t>eGovernment Benchmark score</t>
        </is>
      </c>
      <c r="I105" s="13" t="inlineStr"/>
      <c r="J105" s="14" t="inlineStr">
        <is>
          <t>EC1</t>
        </is>
      </c>
      <c r="K105" s="13" t="inlineStr">
        <is>
          <t>2026-09-12</t>
        </is>
      </c>
      <c r="L105" s="15" t="inlineStr"/>
    </row>
    <row r="106">
      <c r="A106" s="13" t="n">
        <v>105</v>
      </c>
      <c r="B106" s="14" t="inlineStr">
        <is>
          <t>DK.GOV.DPS.XB</t>
        </is>
      </c>
      <c r="C106" s="15" t="inlineStr">
        <is>
          <t>Cross-border digital public services, citizens (score)</t>
        </is>
      </c>
      <c r="D106" s="13" t="inlineStr">
        <is>
          <t>DK</t>
        </is>
      </c>
      <c r="E106" s="13" t="n">
        <v>2025</v>
      </c>
      <c r="F106" s="16" t="n">
        <v>64.40000000000001</v>
      </c>
      <c r="G106" s="13" t="inlineStr">
        <is>
          <t>score 0-100</t>
        </is>
      </c>
      <c r="H106" s="15" t="inlineStr">
        <is>
          <t>eGovernment Benchmark score</t>
        </is>
      </c>
      <c r="I106" s="13" t="inlineStr"/>
      <c r="J106" s="14" t="inlineStr">
        <is>
          <t>EC1</t>
        </is>
      </c>
      <c r="K106" s="13" t="inlineStr">
        <is>
          <t>2026-09-12</t>
        </is>
      </c>
      <c r="L106" s="15" t="inlineStr">
        <is>
          <t>EU average 75.28.</t>
        </is>
      </c>
    </row>
    <row r="107">
      <c r="A107" s="13" t="n">
        <v>106</v>
      </c>
      <c r="B107" s="14" t="inlineStr">
        <is>
          <t>DK.ENV.WEEE</t>
        </is>
      </c>
      <c r="C107" s="15" t="inlineStr">
        <is>
          <t>ICT waste recycled or prepared for reuse</t>
        </is>
      </c>
      <c r="D107" s="13" t="inlineStr">
        <is>
          <t>DK</t>
        </is>
      </c>
      <c r="E107" s="13" t="n">
        <v>2023</v>
      </c>
      <c r="F107" s="16" t="n">
        <v>15.37</v>
      </c>
      <c r="G107" s="13" t="inlineStr">
        <is>
          <t>%</t>
        </is>
      </c>
      <c r="H107" s="15" t="inlineStr">
        <is>
          <t>% of ICT-related WEEE collected</t>
        </is>
      </c>
      <c r="I107" s="13" t="inlineStr"/>
      <c r="J107" s="14" t="inlineStr">
        <is>
          <t>EC1</t>
        </is>
      </c>
      <c r="K107" s="13" t="inlineStr">
        <is>
          <t>2026-09-12</t>
        </is>
      </c>
      <c r="L107" s="15" t="inlineStr">
        <is>
          <t>Among the lowest in the EU; EU average 80.23%.</t>
        </is>
      </c>
    </row>
    <row r="108">
      <c r="A108" s="13" t="n">
        <v>107</v>
      </c>
      <c r="B108" s="14" t="inlineStr">
        <is>
          <t>EU.ENV.WEEE</t>
        </is>
      </c>
      <c r="C108" s="15" t="inlineStr">
        <is>
          <t>ICT waste recycled or prepared for reuse</t>
        </is>
      </c>
      <c r="D108" s="13" t="inlineStr">
        <is>
          <t>EU27</t>
        </is>
      </c>
      <c r="E108" s="13" t="n">
        <v>2023</v>
      </c>
      <c r="F108" s="16" t="n">
        <v>80.23</v>
      </c>
      <c r="G108" s="13" t="inlineStr">
        <is>
          <t>%</t>
        </is>
      </c>
      <c r="H108" s="15" t="inlineStr">
        <is>
          <t>% of ICT-related WEEE collected</t>
        </is>
      </c>
      <c r="I108" s="13" t="inlineStr"/>
      <c r="J108" s="14" t="inlineStr">
        <is>
          <t>EC1</t>
        </is>
      </c>
      <c r="K108" s="13" t="inlineStr">
        <is>
          <t>2026-09-12</t>
        </is>
      </c>
      <c r="L108" s="15" t="inlineStr"/>
    </row>
    <row r="109">
      <c r="A109" s="18" t="n">
        <v>108</v>
      </c>
      <c r="B109" s="19" t="inlineStr">
        <is>
          <t>DK.SME.SMVD.PROJ</t>
        </is>
      </c>
      <c r="C109" s="20" t="inlineStr">
        <is>
          <t>SMV:Digital projects supported since 2018</t>
        </is>
      </c>
      <c r="D109" s="18" t="inlineStr">
        <is>
          <t>DK</t>
        </is>
      </c>
      <c r="E109" s="18" t="n">
        <v>2025</v>
      </c>
      <c r="F109" s="21" t="n">
        <v>7000</v>
      </c>
      <c r="G109" s="18" t="inlineStr">
        <is>
          <t>count</t>
        </is>
      </c>
      <c r="H109" s="20" t="inlineStr">
        <is>
          <t>digitalisation projects</t>
        </is>
      </c>
      <c r="I109" s="18" t="inlineStr">
        <is>
          <t>e</t>
        </is>
      </c>
      <c r="J109" s="19" t="inlineStr">
        <is>
          <t>DG3</t>
        </is>
      </c>
      <c r="K109" s="18" t="inlineStr">
        <is>
          <t>2026-09-12</t>
        </is>
      </c>
      <c r="L109" s="20" t="inlineStr">
        <is>
          <t>Source states 'knap 7.000' (just under 7,000).</t>
        </is>
      </c>
    </row>
    <row r="110">
      <c r="A110" s="13" t="n">
        <v>109</v>
      </c>
      <c r="B110" s="14" t="inlineStr">
        <is>
          <t>DK.SME.SMVD.INV</t>
        </is>
      </c>
      <c r="C110" s="15" t="inlineStr">
        <is>
          <t>Participants who invested further during the project</t>
        </is>
      </c>
      <c r="D110" s="13" t="inlineStr">
        <is>
          <t>DK</t>
        </is>
      </c>
      <c r="E110" s="13" t="n">
        <v>2025</v>
      </c>
      <c r="F110" s="16" t="n">
        <v>65</v>
      </c>
      <c r="G110" s="13" t="inlineStr">
        <is>
          <t>%</t>
        </is>
      </c>
      <c r="H110" s="15" t="inlineStr">
        <is>
          <t>% of participating enterprises</t>
        </is>
      </c>
      <c r="I110" s="13" t="inlineStr"/>
      <c r="J110" s="14" t="inlineStr">
        <is>
          <t>DG3</t>
        </is>
      </c>
      <c r="K110" s="13" t="inlineStr">
        <is>
          <t>2026-09-12</t>
        </is>
      </c>
      <c r="L110" s="15" t="inlineStr"/>
    </row>
    <row r="111">
      <c r="A111" s="13" t="n">
        <v>110</v>
      </c>
      <c r="B111" s="14" t="inlineStr">
        <is>
          <t>DK.SME.SMVD.NOINV</t>
        </is>
      </c>
      <c r="C111" s="15" t="inlineStr">
        <is>
          <t>Participants with no further investment plans</t>
        </is>
      </c>
      <c r="D111" s="13" t="inlineStr">
        <is>
          <t>DK</t>
        </is>
      </c>
      <c r="E111" s="13" t="n">
        <v>2025</v>
      </c>
      <c r="F111" s="16" t="n">
        <v>2</v>
      </c>
      <c r="G111" s="13" t="inlineStr">
        <is>
          <t>%</t>
        </is>
      </c>
      <c r="H111" s="15" t="inlineStr">
        <is>
          <t>% of participating enterprises</t>
        </is>
      </c>
      <c r="I111" s="13" t="inlineStr"/>
      <c r="J111" s="14" t="inlineStr">
        <is>
          <t>DG3</t>
        </is>
      </c>
      <c r="K111" s="13" t="inlineStr">
        <is>
          <t>2026-09-12</t>
        </is>
      </c>
      <c r="L111" s="15" t="inlineStr"/>
    </row>
    <row r="112">
      <c r="A112" s="13" t="n">
        <v>111</v>
      </c>
      <c r="B112" s="14" t="inlineStr">
        <is>
          <t>DK.POP.TOT</t>
        </is>
      </c>
      <c r="C112" s="15" t="inlineStr">
        <is>
          <t>Resident population</t>
        </is>
      </c>
      <c r="D112" s="13" t="inlineStr">
        <is>
          <t>DK</t>
        </is>
      </c>
      <c r="E112" s="13" t="n">
        <v>2026</v>
      </c>
      <c r="F112" s="17" t="n">
        <v>6025603</v>
      </c>
      <c r="G112" s="13" t="inlineStr">
        <is>
          <t>count</t>
        </is>
      </c>
      <c r="H112" s="15" t="inlineStr">
        <is>
          <t>persons resident in Denmark</t>
        </is>
      </c>
      <c r="I112" s="13" t="inlineStr"/>
      <c r="J112" s="14" t="inlineStr">
        <is>
          <t>DST2</t>
        </is>
      </c>
      <c r="K112" s="13" t="inlineStr">
        <is>
          <t>2026-09-12</t>
        </is>
      </c>
      <c r="L112" s="15" t="inlineStr">
        <is>
          <t>As at 1 January 2026.</t>
        </is>
      </c>
    </row>
    <row r="113">
      <c r="A113" s="18" t="n">
        <v>112</v>
      </c>
      <c r="B113" s="19" t="inlineStr">
        <is>
          <t>DK.DGP.EXMP.N</t>
        </is>
      </c>
      <c r="C113" s="20" t="inlineStr">
        <is>
          <t>Citizens formally exempt from Digital Post</t>
        </is>
      </c>
      <c r="D113" s="18" t="inlineStr">
        <is>
          <t>DK</t>
        </is>
      </c>
      <c r="E113" s="18" t="n">
        <v>2025</v>
      </c>
      <c r="F113" s="21" t="n">
        <v>256000</v>
      </c>
      <c r="G113" s="18" t="inlineStr">
        <is>
          <t>count</t>
        </is>
      </c>
      <c r="H113" s="20" t="inlineStr">
        <is>
          <t>citizens aged 15+ resident in Denmark</t>
        </is>
      </c>
      <c r="I113" s="18" t="inlineStr">
        <is>
          <t>e</t>
        </is>
      </c>
      <c r="J113" s="19" t="inlineStr">
        <is>
          <t>DG1</t>
        </is>
      </c>
      <c r="K113" s="18" t="inlineStr">
        <is>
          <t>2026-09-12</t>
        </is>
      </c>
      <c r="L113" s="20" t="inlineStr">
        <is>
          <t>April 2025; source states approx. 256,000.</t>
        </is>
      </c>
    </row>
    <row r="114">
      <c r="A114" s="13" t="n">
        <v>113</v>
      </c>
      <c r="B114" s="14" t="inlineStr">
        <is>
          <t>DK.DGP.EXMP.N</t>
        </is>
      </c>
      <c r="C114" s="15" t="inlineStr">
        <is>
          <t>Citizens formally exempt from Digital Post</t>
        </is>
      </c>
      <c r="D114" s="13" t="inlineStr">
        <is>
          <t>DK</t>
        </is>
      </c>
      <c r="E114" s="13" t="n">
        <v>2026</v>
      </c>
      <c r="F114" s="17" t="n">
        <v>238479</v>
      </c>
      <c r="G114" s="13" t="inlineStr">
        <is>
          <t>count</t>
        </is>
      </c>
      <c r="H114" s="15" t="inlineStr">
        <is>
          <t>citizens aged 15+ resident in Denmark</t>
        </is>
      </c>
      <c r="I114" s="13" t="inlineStr"/>
      <c r="J114" s="14" t="inlineStr">
        <is>
          <t>DG1</t>
        </is>
      </c>
      <c r="K114" s="13" t="inlineStr">
        <is>
          <t>2026-09-12</t>
        </is>
      </c>
      <c r="L114" s="15" t="inlineStr">
        <is>
          <t>Q1 2026. Paired with the 4.7% rate, implies a 15+ base of about 5.07m.</t>
        </is>
      </c>
    </row>
    <row r="115">
      <c r="A115" s="18" t="n">
        <v>114</v>
      </c>
      <c r="B115" s="19" t="inlineStr">
        <is>
          <t>DK.GOV.DGP.SAVE.PLAN</t>
        </is>
      </c>
      <c r="C115" s="20" t="inlineStr">
        <is>
          <t>Digital Post: projected annual public saving</t>
        </is>
      </c>
      <c r="D115" s="18" t="inlineStr">
        <is>
          <t>DK</t>
        </is>
      </c>
      <c r="E115" s="18" t="n">
        <v>2016</v>
      </c>
      <c r="F115" s="22" t="n">
        <v>1000</v>
      </c>
      <c r="G115" s="18" t="inlineStr">
        <is>
          <t>million DKK per year</t>
        </is>
      </c>
      <c r="H115" s="20" t="inlineStr">
        <is>
          <t>projected annual saving, whole public sector</t>
        </is>
      </c>
      <c r="I115" s="18" t="inlineStr">
        <is>
          <t>e</t>
        </is>
      </c>
      <c r="J115" s="19" t="inlineStr">
        <is>
          <t>RR1</t>
        </is>
      </c>
      <c r="K115" s="18" t="inlineStr">
        <is>
          <t>2026-09-12</t>
        </is>
      </c>
      <c r="L115" s="20" t="inlineStr">
        <is>
          <t>Ministry of Finance business case; Rigsrevisionen reports it as 'approx. 1bn'.</t>
        </is>
      </c>
    </row>
    <row r="116">
      <c r="A116" s="18" t="n">
        <v>115</v>
      </c>
      <c r="B116" s="19" t="inlineStr">
        <is>
          <t>DK.GOV.DGP.SAVE.VERIF</t>
        </is>
      </c>
      <c r="C116" s="20" t="inlineStr">
        <is>
          <t>Digital Post: annual saving verifiable by audit</t>
        </is>
      </c>
      <c r="D116" s="18" t="inlineStr">
        <is>
          <t>DK</t>
        </is>
      </c>
      <c r="E116" s="18" t="n">
        <v>2016</v>
      </c>
      <c r="F116" s="22" t="n">
        <v>450</v>
      </c>
      <c r="G116" s="18" t="inlineStr">
        <is>
          <t>million DKK per year</t>
        </is>
      </c>
      <c r="H116" s="20" t="inlineStr">
        <is>
          <t>verified annual saving, whole public sector</t>
        </is>
      </c>
      <c r="I116" s="18" t="inlineStr">
        <is>
          <t>e</t>
        </is>
      </c>
      <c r="J116" s="19" t="inlineStr">
        <is>
          <t>RR1</t>
        </is>
      </c>
      <c r="K116" s="18" t="inlineStr">
        <is>
          <t>2026-09-12</t>
        </is>
      </c>
      <c r="L116" s="20" t="inlineStr">
        <is>
          <t>Postage, paper and envelopes only. The wage and overhead component was never verified: the cross-government study was abandoned after KL declined to take part.</t>
        </is>
      </c>
    </row>
    <row r="117">
      <c r="A117" s="13" t="n">
        <v>116</v>
      </c>
      <c r="B117" s="14" t="inlineStr">
        <is>
          <t>DK.PRD.LP.PER</t>
        </is>
      </c>
      <c r="C117" s="15" t="inlineStr">
        <is>
          <t>Nominal labour productivity per person</t>
        </is>
      </c>
      <c r="D117" s="13" t="inlineStr">
        <is>
          <t>DK</t>
        </is>
      </c>
      <c r="E117" s="13" t="n">
        <v>2005</v>
      </c>
      <c r="F117" s="16" t="n">
        <v>109.2</v>
      </c>
      <c r="G117" s="13" t="inlineStr">
        <is>
          <t>index</t>
        </is>
      </c>
      <c r="H117" s="15" t="inlineStr">
        <is>
          <t>EU27_2020 = 100, current prices, PPS</t>
        </is>
      </c>
      <c r="I117" s="13" t="inlineStr"/>
      <c r="J117" s="14" t="inlineStr">
        <is>
          <t>ES8</t>
        </is>
      </c>
      <c r="K117" s="13" t="inlineStr">
        <is>
          <t>2026-09-12</t>
        </is>
      </c>
      <c r="L117" s="15" t="inlineStr"/>
    </row>
    <row r="118">
      <c r="A118" s="13" t="n">
        <v>117</v>
      </c>
      <c r="B118" s="14" t="inlineStr">
        <is>
          <t>DK.PRD.LP.PER</t>
        </is>
      </c>
      <c r="C118" s="15" t="inlineStr">
        <is>
          <t>Nominal labour productivity per person</t>
        </is>
      </c>
      <c r="D118" s="13" t="inlineStr">
        <is>
          <t>DK</t>
        </is>
      </c>
      <c r="E118" s="13" t="n">
        <v>2006</v>
      </c>
      <c r="F118" s="16" t="n">
        <v>109.3</v>
      </c>
      <c r="G118" s="13" t="inlineStr">
        <is>
          <t>index</t>
        </is>
      </c>
      <c r="H118" s="15" t="inlineStr">
        <is>
          <t>EU27_2020 = 100, current prices, PPS</t>
        </is>
      </c>
      <c r="I118" s="13" t="inlineStr"/>
      <c r="J118" s="14" t="inlineStr">
        <is>
          <t>ES8</t>
        </is>
      </c>
      <c r="K118" s="13" t="inlineStr">
        <is>
          <t>2026-09-12</t>
        </is>
      </c>
      <c r="L118" s="15" t="inlineStr"/>
    </row>
    <row r="119">
      <c r="A119" s="13" t="n">
        <v>118</v>
      </c>
      <c r="B119" s="14" t="inlineStr">
        <is>
          <t>DK.PRD.LP.PER</t>
        </is>
      </c>
      <c r="C119" s="15" t="inlineStr">
        <is>
          <t>Nominal labour productivity per person</t>
        </is>
      </c>
      <c r="D119" s="13" t="inlineStr">
        <is>
          <t>DK</t>
        </is>
      </c>
      <c r="E119" s="13" t="n">
        <v>2007</v>
      </c>
      <c r="F119" s="16" t="n">
        <v>107.1</v>
      </c>
      <c r="G119" s="13" t="inlineStr">
        <is>
          <t>index</t>
        </is>
      </c>
      <c r="H119" s="15" t="inlineStr">
        <is>
          <t>EU27_2020 = 100, current prices, PPS</t>
        </is>
      </c>
      <c r="I119" s="13" t="inlineStr"/>
      <c r="J119" s="14" t="inlineStr">
        <is>
          <t>ES8</t>
        </is>
      </c>
      <c r="K119" s="13" t="inlineStr">
        <is>
          <t>2026-09-12</t>
        </is>
      </c>
      <c r="L119" s="15" t="inlineStr"/>
    </row>
    <row r="120">
      <c r="A120" s="13" t="n">
        <v>119</v>
      </c>
      <c r="B120" s="14" t="inlineStr">
        <is>
          <t>DK.PRD.LP.PER</t>
        </is>
      </c>
      <c r="C120" s="15" t="inlineStr">
        <is>
          <t>Nominal labour productivity per person</t>
        </is>
      </c>
      <c r="D120" s="13" t="inlineStr">
        <is>
          <t>DK</t>
        </is>
      </c>
      <c r="E120" s="13" t="n">
        <v>2008</v>
      </c>
      <c r="F120" s="16" t="n">
        <v>108.5</v>
      </c>
      <c r="G120" s="13" t="inlineStr">
        <is>
          <t>index</t>
        </is>
      </c>
      <c r="H120" s="15" t="inlineStr">
        <is>
          <t>EU27_2020 = 100, current prices, PPS</t>
        </is>
      </c>
      <c r="I120" s="13" t="inlineStr"/>
      <c r="J120" s="14" t="inlineStr">
        <is>
          <t>ES8</t>
        </is>
      </c>
      <c r="K120" s="13" t="inlineStr">
        <is>
          <t>2026-09-12</t>
        </is>
      </c>
      <c r="L120" s="15" t="inlineStr"/>
    </row>
    <row r="121">
      <c r="A121" s="13" t="n">
        <v>120</v>
      </c>
      <c r="B121" s="14" t="inlineStr">
        <is>
          <t>DK.PRD.LP.PER</t>
        </is>
      </c>
      <c r="C121" s="15" t="inlineStr">
        <is>
          <t>Nominal labour productivity per person</t>
        </is>
      </c>
      <c r="D121" s="13" t="inlineStr">
        <is>
          <t>DK</t>
        </is>
      </c>
      <c r="E121" s="13" t="n">
        <v>2009</v>
      </c>
      <c r="F121" s="16" t="n">
        <v>109.9</v>
      </c>
      <c r="G121" s="13" t="inlineStr">
        <is>
          <t>index</t>
        </is>
      </c>
      <c r="H121" s="15" t="inlineStr">
        <is>
          <t>EU27_2020 = 100, current prices, PPS</t>
        </is>
      </c>
      <c r="I121" s="13" t="inlineStr"/>
      <c r="J121" s="14" t="inlineStr">
        <is>
          <t>ES8</t>
        </is>
      </c>
      <c r="K121" s="13" t="inlineStr">
        <is>
          <t>2026-09-12</t>
        </is>
      </c>
      <c r="L121" s="15" t="inlineStr"/>
    </row>
    <row r="122">
      <c r="A122" s="13" t="n">
        <v>121</v>
      </c>
      <c r="B122" s="14" t="inlineStr">
        <is>
          <t>DK.PRD.LP.PER</t>
        </is>
      </c>
      <c r="C122" s="15" t="inlineStr">
        <is>
          <t>Nominal labour productivity per person</t>
        </is>
      </c>
      <c r="D122" s="13" t="inlineStr">
        <is>
          <t>DK</t>
        </is>
      </c>
      <c r="E122" s="13" t="n">
        <v>2010</v>
      </c>
      <c r="F122" s="16" t="n">
        <v>115</v>
      </c>
      <c r="G122" s="13" t="inlineStr">
        <is>
          <t>index</t>
        </is>
      </c>
      <c r="H122" s="15" t="inlineStr">
        <is>
          <t>EU27_2020 = 100, current prices, PPS</t>
        </is>
      </c>
      <c r="I122" s="13" t="inlineStr"/>
      <c r="J122" s="14" t="inlineStr">
        <is>
          <t>ES8</t>
        </is>
      </c>
      <c r="K122" s="13" t="inlineStr">
        <is>
          <t>2026-09-12</t>
        </is>
      </c>
      <c r="L122" s="15" t="inlineStr"/>
    </row>
    <row r="123">
      <c r="A123" s="13" t="n">
        <v>122</v>
      </c>
      <c r="B123" s="14" t="inlineStr">
        <is>
          <t>DK.PRD.LP.PER</t>
        </is>
      </c>
      <c r="C123" s="15" t="inlineStr">
        <is>
          <t>Nominal labour productivity per person</t>
        </is>
      </c>
      <c r="D123" s="13" t="inlineStr">
        <is>
          <t>DK</t>
        </is>
      </c>
      <c r="E123" s="13" t="n">
        <v>2011</v>
      </c>
      <c r="F123" s="16" t="n">
        <v>113.8</v>
      </c>
      <c r="G123" s="13" t="inlineStr">
        <is>
          <t>index</t>
        </is>
      </c>
      <c r="H123" s="15" t="inlineStr">
        <is>
          <t>EU27_2020 = 100, current prices, PPS</t>
        </is>
      </c>
      <c r="I123" s="13" t="inlineStr"/>
      <c r="J123" s="14" t="inlineStr">
        <is>
          <t>ES8</t>
        </is>
      </c>
      <c r="K123" s="13" t="inlineStr">
        <is>
          <t>2026-09-12</t>
        </is>
      </c>
      <c r="L123" s="15" t="inlineStr"/>
    </row>
    <row r="124">
      <c r="A124" s="13" t="n">
        <v>123</v>
      </c>
      <c r="B124" s="14" t="inlineStr">
        <is>
          <t>DK.PRD.LP.PER</t>
        </is>
      </c>
      <c r="C124" s="15" t="inlineStr">
        <is>
          <t>Nominal labour productivity per person</t>
        </is>
      </c>
      <c r="D124" s="13" t="inlineStr">
        <is>
          <t>DK</t>
        </is>
      </c>
      <c r="E124" s="13" t="n">
        <v>2012</v>
      </c>
      <c r="F124" s="16" t="n">
        <v>113.9</v>
      </c>
      <c r="G124" s="13" t="inlineStr">
        <is>
          <t>index</t>
        </is>
      </c>
      <c r="H124" s="15" t="inlineStr">
        <is>
          <t>EU27_2020 = 100, current prices, PPS</t>
        </is>
      </c>
      <c r="I124" s="13" t="inlineStr"/>
      <c r="J124" s="14" t="inlineStr">
        <is>
          <t>ES8</t>
        </is>
      </c>
      <c r="K124" s="13" t="inlineStr">
        <is>
          <t>2026-09-12</t>
        </is>
      </c>
      <c r="L124" s="15" t="inlineStr"/>
    </row>
    <row r="125">
      <c r="A125" s="13" t="n">
        <v>124</v>
      </c>
      <c r="B125" s="14" t="inlineStr">
        <is>
          <t>DK.PRD.LP.PER</t>
        </is>
      </c>
      <c r="C125" s="15" t="inlineStr">
        <is>
          <t>Nominal labour productivity per person</t>
        </is>
      </c>
      <c r="D125" s="13" t="inlineStr">
        <is>
          <t>DK</t>
        </is>
      </c>
      <c r="E125" s="13" t="n">
        <v>2013</v>
      </c>
      <c r="F125" s="16" t="n">
        <v>115.3</v>
      </c>
      <c r="G125" s="13" t="inlineStr">
        <is>
          <t>index</t>
        </is>
      </c>
      <c r="H125" s="15" t="inlineStr">
        <is>
          <t>EU27_2020 = 100, current prices, PPS</t>
        </is>
      </c>
      <c r="I125" s="13" t="inlineStr"/>
      <c r="J125" s="14" t="inlineStr">
        <is>
          <t>ES8</t>
        </is>
      </c>
      <c r="K125" s="13" t="inlineStr">
        <is>
          <t>2026-09-12</t>
        </is>
      </c>
      <c r="L125" s="15" t="inlineStr"/>
    </row>
    <row r="126">
      <c r="A126" s="13" t="n">
        <v>125</v>
      </c>
      <c r="B126" s="14" t="inlineStr">
        <is>
          <t>DK.PRD.LP.PER</t>
        </is>
      </c>
      <c r="C126" s="15" t="inlineStr">
        <is>
          <t>Nominal labour productivity per person</t>
        </is>
      </c>
      <c r="D126" s="13" t="inlineStr">
        <is>
          <t>DK</t>
        </is>
      </c>
      <c r="E126" s="13" t="n">
        <v>2014</v>
      </c>
      <c r="F126" s="16" t="n">
        <v>115.1</v>
      </c>
      <c r="G126" s="13" t="inlineStr">
        <is>
          <t>index</t>
        </is>
      </c>
      <c r="H126" s="15" t="inlineStr">
        <is>
          <t>EU27_2020 = 100, current prices, PPS</t>
        </is>
      </c>
      <c r="I126" s="13" t="inlineStr"/>
      <c r="J126" s="14" t="inlineStr">
        <is>
          <t>ES8</t>
        </is>
      </c>
      <c r="K126" s="13" t="inlineStr">
        <is>
          <t>2026-09-12</t>
        </is>
      </c>
      <c r="L126" s="15" t="inlineStr"/>
    </row>
    <row r="127">
      <c r="A127" s="13" t="n">
        <v>126</v>
      </c>
      <c r="B127" s="14" t="inlineStr">
        <is>
          <t>DK.PRD.LP.PER</t>
        </is>
      </c>
      <c r="C127" s="15" t="inlineStr">
        <is>
          <t>Nominal labour productivity per person</t>
        </is>
      </c>
      <c r="D127" s="13" t="inlineStr">
        <is>
          <t>DK</t>
        </is>
      </c>
      <c r="E127" s="13" t="n">
        <v>2015</v>
      </c>
      <c r="F127" s="16" t="n">
        <v>113.9</v>
      </c>
      <c r="G127" s="13" t="inlineStr">
        <is>
          <t>index</t>
        </is>
      </c>
      <c r="H127" s="15" t="inlineStr">
        <is>
          <t>EU27_2020 = 100, current prices, PPS</t>
        </is>
      </c>
      <c r="I127" s="13" t="inlineStr"/>
      <c r="J127" s="14" t="inlineStr">
        <is>
          <t>ES8</t>
        </is>
      </c>
      <c r="K127" s="13" t="inlineStr">
        <is>
          <t>2026-09-12</t>
        </is>
      </c>
      <c r="L127" s="15" t="inlineStr"/>
    </row>
    <row r="128">
      <c r="A128" s="13" t="n">
        <v>127</v>
      </c>
      <c r="B128" s="14" t="inlineStr">
        <is>
          <t>DK.PRD.LP.PER</t>
        </is>
      </c>
      <c r="C128" s="15" t="inlineStr">
        <is>
          <t>Nominal labour productivity per person</t>
        </is>
      </c>
      <c r="D128" s="13" t="inlineStr">
        <is>
          <t>DK</t>
        </is>
      </c>
      <c r="E128" s="13" t="n">
        <v>2016</v>
      </c>
      <c r="F128" s="16" t="n">
        <v>114.1</v>
      </c>
      <c r="G128" s="13" t="inlineStr">
        <is>
          <t>index</t>
        </is>
      </c>
      <c r="H128" s="15" t="inlineStr">
        <is>
          <t>EU27_2020 = 100, current prices, PPS</t>
        </is>
      </c>
      <c r="I128" s="13" t="inlineStr"/>
      <c r="J128" s="14" t="inlineStr">
        <is>
          <t>ES8</t>
        </is>
      </c>
      <c r="K128" s="13" t="inlineStr">
        <is>
          <t>2026-09-12</t>
        </is>
      </c>
      <c r="L128" s="15" t="inlineStr"/>
    </row>
    <row r="129">
      <c r="A129" s="13" t="n">
        <v>128</v>
      </c>
      <c r="B129" s="14" t="inlineStr">
        <is>
          <t>DK.PRD.LP.PER</t>
        </is>
      </c>
      <c r="C129" s="15" t="inlineStr">
        <is>
          <t>Nominal labour productivity per person</t>
        </is>
      </c>
      <c r="D129" s="13" t="inlineStr">
        <is>
          <t>DK</t>
        </is>
      </c>
      <c r="E129" s="13" t="n">
        <v>2017</v>
      </c>
      <c r="F129" s="16" t="n">
        <v>116.3</v>
      </c>
      <c r="G129" s="13" t="inlineStr">
        <is>
          <t>index</t>
        </is>
      </c>
      <c r="H129" s="15" t="inlineStr">
        <is>
          <t>EU27_2020 = 100, current prices, PPS</t>
        </is>
      </c>
      <c r="I129" s="13" t="inlineStr"/>
      <c r="J129" s="14" t="inlineStr">
        <is>
          <t>ES8</t>
        </is>
      </c>
      <c r="K129" s="13" t="inlineStr">
        <is>
          <t>2026-09-12</t>
        </is>
      </c>
      <c r="L129" s="15" t="inlineStr"/>
    </row>
    <row r="130">
      <c r="A130" s="13" t="n">
        <v>129</v>
      </c>
      <c r="B130" s="14" t="inlineStr">
        <is>
          <t>DK.PRD.LP.PER</t>
        </is>
      </c>
      <c r="C130" s="15" t="inlineStr">
        <is>
          <t>Nominal labour productivity per person</t>
        </is>
      </c>
      <c r="D130" s="13" t="inlineStr">
        <is>
          <t>DK</t>
        </is>
      </c>
      <c r="E130" s="13" t="n">
        <v>2018</v>
      </c>
      <c r="F130" s="16" t="n">
        <v>115.3</v>
      </c>
      <c r="G130" s="13" t="inlineStr">
        <is>
          <t>index</t>
        </is>
      </c>
      <c r="H130" s="15" t="inlineStr">
        <is>
          <t>EU27_2020 = 100, current prices, PPS</t>
        </is>
      </c>
      <c r="I130" s="13" t="inlineStr"/>
      <c r="J130" s="14" t="inlineStr">
        <is>
          <t>ES8</t>
        </is>
      </c>
      <c r="K130" s="13" t="inlineStr">
        <is>
          <t>2026-09-12</t>
        </is>
      </c>
      <c r="L130" s="15" t="inlineStr"/>
    </row>
    <row r="131">
      <c r="A131" s="13" t="n">
        <v>130</v>
      </c>
      <c r="B131" s="14" t="inlineStr">
        <is>
          <t>DK.PRD.LP.PER</t>
        </is>
      </c>
      <c r="C131" s="15" t="inlineStr">
        <is>
          <t>Nominal labour productivity per person</t>
        </is>
      </c>
      <c r="D131" s="13" t="inlineStr">
        <is>
          <t>DK</t>
        </is>
      </c>
      <c r="E131" s="13" t="n">
        <v>2019</v>
      </c>
      <c r="F131" s="16" t="n">
        <v>113.2</v>
      </c>
      <c r="G131" s="13" t="inlineStr">
        <is>
          <t>index</t>
        </is>
      </c>
      <c r="H131" s="15" t="inlineStr">
        <is>
          <t>EU27_2020 = 100, current prices, PPS</t>
        </is>
      </c>
      <c r="I131" s="13" t="inlineStr"/>
      <c r="J131" s="14" t="inlineStr">
        <is>
          <t>ES8</t>
        </is>
      </c>
      <c r="K131" s="13" t="inlineStr">
        <is>
          <t>2026-09-12</t>
        </is>
      </c>
      <c r="L131" s="15" t="inlineStr"/>
    </row>
    <row r="132">
      <c r="A132" s="13" t="n">
        <v>131</v>
      </c>
      <c r="B132" s="14" t="inlineStr">
        <is>
          <t>DK.PRD.LP.PER</t>
        </is>
      </c>
      <c r="C132" s="15" t="inlineStr">
        <is>
          <t>Nominal labour productivity per person</t>
        </is>
      </c>
      <c r="D132" s="13" t="inlineStr">
        <is>
          <t>DK</t>
        </is>
      </c>
      <c r="E132" s="13" t="n">
        <v>2020</v>
      </c>
      <c r="F132" s="16" t="n">
        <v>119.6</v>
      </c>
      <c r="G132" s="13" t="inlineStr">
        <is>
          <t>index</t>
        </is>
      </c>
      <c r="H132" s="15" t="inlineStr">
        <is>
          <t>EU27_2020 = 100, current prices, PPS</t>
        </is>
      </c>
      <c r="I132" s="13" t="inlineStr"/>
      <c r="J132" s="14" t="inlineStr">
        <is>
          <t>ES8</t>
        </is>
      </c>
      <c r="K132" s="13" t="inlineStr">
        <is>
          <t>2026-09-12</t>
        </is>
      </c>
      <c r="L132" s="15" t="inlineStr"/>
    </row>
    <row r="133">
      <c r="A133" s="13" t="n">
        <v>132</v>
      </c>
      <c r="B133" s="14" t="inlineStr">
        <is>
          <t>DK.PRD.LP.PER</t>
        </is>
      </c>
      <c r="C133" s="15" t="inlineStr">
        <is>
          <t>Nominal labour productivity per person</t>
        </is>
      </c>
      <c r="D133" s="13" t="inlineStr">
        <is>
          <t>DK</t>
        </is>
      </c>
      <c r="E133" s="13" t="n">
        <v>2021</v>
      </c>
      <c r="F133" s="16" t="n">
        <v>121</v>
      </c>
      <c r="G133" s="13" t="inlineStr">
        <is>
          <t>index</t>
        </is>
      </c>
      <c r="H133" s="15" t="inlineStr">
        <is>
          <t>EU27_2020 = 100, current prices, PPS</t>
        </is>
      </c>
      <c r="I133" s="13" t="inlineStr"/>
      <c r="J133" s="14" t="inlineStr">
        <is>
          <t>ES8</t>
        </is>
      </c>
      <c r="K133" s="13" t="inlineStr">
        <is>
          <t>2026-09-12</t>
        </is>
      </c>
      <c r="L133" s="15" t="inlineStr"/>
    </row>
    <row r="134">
      <c r="A134" s="13" t="n">
        <v>133</v>
      </c>
      <c r="B134" s="14" t="inlineStr">
        <is>
          <t>DK.PRD.LP.PER</t>
        </is>
      </c>
      <c r="C134" s="15" t="inlineStr">
        <is>
          <t>Nominal labour productivity per person</t>
        </is>
      </c>
      <c r="D134" s="13" t="inlineStr">
        <is>
          <t>DK</t>
        </is>
      </c>
      <c r="E134" s="13" t="n">
        <v>2022</v>
      </c>
      <c r="F134" s="16" t="n">
        <v>120.2</v>
      </c>
      <c r="G134" s="13" t="inlineStr">
        <is>
          <t>index</t>
        </is>
      </c>
      <c r="H134" s="15" t="inlineStr">
        <is>
          <t>EU27_2020 = 100, current prices, PPS</t>
        </is>
      </c>
      <c r="I134" s="13" t="inlineStr"/>
      <c r="J134" s="14" t="inlineStr">
        <is>
          <t>ES8</t>
        </is>
      </c>
      <c r="K134" s="13" t="inlineStr">
        <is>
          <t>2026-09-12</t>
        </is>
      </c>
      <c r="L134" s="15" t="inlineStr"/>
    </row>
    <row r="135">
      <c r="A135" s="13" t="n">
        <v>134</v>
      </c>
      <c r="B135" s="14" t="inlineStr">
        <is>
          <t>DK.PRD.LP.PER</t>
        </is>
      </c>
      <c r="C135" s="15" t="inlineStr">
        <is>
          <t>Nominal labour productivity per person</t>
        </is>
      </c>
      <c r="D135" s="13" t="inlineStr">
        <is>
          <t>DK</t>
        </is>
      </c>
      <c r="E135" s="13" t="n">
        <v>2023</v>
      </c>
      <c r="F135" s="16" t="n">
        <v>113.1</v>
      </c>
      <c r="G135" s="13" t="inlineStr">
        <is>
          <t>index</t>
        </is>
      </c>
      <c r="H135" s="15" t="inlineStr">
        <is>
          <t>EU27_2020 = 100, current prices, PPS</t>
        </is>
      </c>
      <c r="I135" s="13" t="inlineStr"/>
      <c r="J135" s="14" t="inlineStr">
        <is>
          <t>ES8</t>
        </is>
      </c>
      <c r="K135" s="13" t="inlineStr">
        <is>
          <t>2026-09-12</t>
        </is>
      </c>
      <c r="L135" s="15" t="inlineStr"/>
    </row>
    <row r="136">
      <c r="A136" s="13" t="n">
        <v>135</v>
      </c>
      <c r="B136" s="14" t="inlineStr">
        <is>
          <t>DK.PRD.LP.PER</t>
        </is>
      </c>
      <c r="C136" s="15" t="inlineStr">
        <is>
          <t>Nominal labour productivity per person</t>
        </is>
      </c>
      <c r="D136" s="13" t="inlineStr">
        <is>
          <t>DK</t>
        </is>
      </c>
      <c r="E136" s="13" t="n">
        <v>2024</v>
      </c>
      <c r="F136" s="16" t="n">
        <v>116.7</v>
      </c>
      <c r="G136" s="13" t="inlineStr">
        <is>
          <t>index</t>
        </is>
      </c>
      <c r="H136" s="15" t="inlineStr">
        <is>
          <t>EU27_2020 = 100, current prices, PPS</t>
        </is>
      </c>
      <c r="I136" s="13" t="inlineStr"/>
      <c r="J136" s="14" t="inlineStr">
        <is>
          <t>ES8</t>
        </is>
      </c>
      <c r="K136" s="13" t="inlineStr">
        <is>
          <t>2026-09-12</t>
        </is>
      </c>
      <c r="L136" s="15" t="inlineStr"/>
    </row>
    <row r="137">
      <c r="A137" s="13" t="n">
        <v>136</v>
      </c>
      <c r="B137" s="14" t="inlineStr">
        <is>
          <t>DK.PRD.LP.PER</t>
        </is>
      </c>
      <c r="C137" s="15" t="inlineStr">
        <is>
          <t>Nominal labour productivity per person</t>
        </is>
      </c>
      <c r="D137" s="13" t="inlineStr">
        <is>
          <t>DK</t>
        </is>
      </c>
      <c r="E137" s="13" t="n">
        <v>2025</v>
      </c>
      <c r="F137" s="16" t="n">
        <v>116.8</v>
      </c>
      <c r="G137" s="13" t="inlineStr">
        <is>
          <t>index</t>
        </is>
      </c>
      <c r="H137" s="15" t="inlineStr">
        <is>
          <t>EU27_2020 = 100, current prices, PPS</t>
        </is>
      </c>
      <c r="I137" s="13" t="inlineStr"/>
      <c r="J137" s="14" t="inlineStr">
        <is>
          <t>ES8</t>
        </is>
      </c>
      <c r="K137" s="13" t="inlineStr">
        <is>
          <t>2026-09-12</t>
        </is>
      </c>
      <c r="L137" s="15" t="inlineStr"/>
    </row>
  </sheetData>
  <autoFilter ref="A1:L1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FD1</t>
        </is>
      </c>
      <c r="B3" s="15" t="inlineStr">
        <is>
          <t>Finans Danmark</t>
        </is>
      </c>
      <c r="C3" s="15" t="inlineStr">
        <is>
          <t>Institutter, filialer &amp; ansatte</t>
        </is>
      </c>
      <c r="D3" s="15" t="inlineStr"/>
      <c r="E3" s="15" t="inlineStr">
        <is>
          <t>https://finansdanmark.dk/tal-og-data/institutter-filialer-ansatte/</t>
        </is>
      </c>
      <c r="F3" s="15" t="inlineStr">
        <is>
          <t>2026-09-12</t>
        </is>
      </c>
      <c r="G3" s="15" t="inlineStr">
        <is>
          <t>Finans Danmark 2025, Institutter, filialer &amp; ansatte, Finans Danmark, Copenhagen, accessed 12 September 2026, &lt;https://finansdanmark.dk/tal-og-data/institutter-filialer-ansatte/&gt;.</t>
        </is>
      </c>
    </row>
    <row r="4" ht="46" customHeight="1">
      <c r="A4" s="23" t="inlineStr">
        <is>
          <t>ES1</t>
        </is>
      </c>
      <c r="B4" s="15" t="inlineStr">
        <is>
          <t>Eurostat</t>
        </is>
      </c>
      <c r="C4" s="15" t="inlineStr">
        <is>
          <t>E-commerce statistics for individuals (Statistics Explained)</t>
        </is>
      </c>
      <c r="D4" s="15" t="inlineStr">
        <is>
          <t>isoc_ec_ib20 / isoc_ec_ibuy</t>
        </is>
      </c>
      <c r="E4" s="15" t="inlineStr">
        <is>
          <t>https://ec.europa.eu/eurostat/statistics-explained/index.php?title=E-commerce_statistics_for_individuals</t>
        </is>
      </c>
      <c r="F4" s="15" t="inlineStr">
        <is>
          <t>2026-09-12</t>
        </is>
      </c>
      <c r="G4" s="15" t="inlineStr">
        <is>
          <t>Eurostat 2025, E-commerce statistics for individuals, Statistics Explained, European Commission, Luxembourg, accessed 12 September 2026.</t>
        </is>
      </c>
    </row>
    <row r="5" ht="46" customHeight="1">
      <c r="A5" s="23" t="inlineStr">
        <is>
          <t>ES2</t>
        </is>
      </c>
      <c r="B5" s="15" t="inlineStr">
        <is>
          <t>Eurostat</t>
        </is>
      </c>
      <c r="C5" s="15" t="inlineStr">
        <is>
          <t>Online shopping ever more popular in 2020 (ddn-20210217-1)</t>
        </is>
      </c>
      <c r="D5" s="15" t="inlineStr">
        <is>
          <t>isoc_ec_ib20</t>
        </is>
      </c>
      <c r="E5" s="15" t="inlineStr">
        <is>
          <t>https://ec.europa.eu/eurostat/web/products-eurostat-news/-/ddn-20210217-1</t>
        </is>
      </c>
      <c r="F5" s="15" t="inlineStr">
        <is>
          <t>2026-09-12</t>
        </is>
      </c>
      <c r="G5" s="15" t="inlineStr">
        <is>
          <t>Eurostat 2021, Online shopping ever more popular in 2020, European Commission, Luxembourg, accessed 12 September 2026.</t>
        </is>
      </c>
    </row>
    <row r="6" ht="46" customHeight="1">
      <c r="A6" s="23" t="inlineStr">
        <is>
          <t>ES3</t>
        </is>
      </c>
      <c r="B6" s="15" t="inlineStr">
        <is>
          <t>Eurostat</t>
        </is>
      </c>
      <c r="C6" s="15" t="inlineStr">
        <is>
          <t>Online shopping ever more popular (ddn-20220202-1)</t>
        </is>
      </c>
      <c r="D6" s="15" t="inlineStr">
        <is>
          <t>isoc_ec_ib20</t>
        </is>
      </c>
      <c r="E6" s="15" t="inlineStr">
        <is>
          <t>https://ec.europa.eu/eurostat/web/products-eurostat-news/-/ddn-20220202-1</t>
        </is>
      </c>
      <c r="F6" s="15" t="inlineStr">
        <is>
          <t>2026-09-12</t>
        </is>
      </c>
      <c r="G6" s="15" t="inlineStr">
        <is>
          <t>Eurostat 2022, Online shopping ever more popular, European Commission, Luxembourg, accessed 12 September 2026.</t>
        </is>
      </c>
    </row>
    <row r="7" ht="46" customHeight="1">
      <c r="A7" s="23" t="inlineStr">
        <is>
          <t>ES4</t>
        </is>
      </c>
      <c r="B7" s="15" t="inlineStr">
        <is>
          <t>Eurostat</t>
        </is>
      </c>
      <c r="C7" s="15" t="inlineStr">
        <is>
          <t>E-commerce statistics for individuals, 2024 reference year (ddn-20250220-3)</t>
        </is>
      </c>
      <c r="D7" s="15" t="inlineStr">
        <is>
          <t>isoc_ec_ib20</t>
        </is>
      </c>
      <c r="E7" s="15" t="inlineStr">
        <is>
          <t>https://ec.europa.eu/eurostat/web/products-eurostat-news/w/ddn-20250220-3</t>
        </is>
      </c>
      <c r="F7" s="15" t="inlineStr">
        <is>
          <t>2026-09-12</t>
        </is>
      </c>
      <c r="G7" s="15" t="inlineStr">
        <is>
          <t>Eurostat 2025, E-commerce statistics for individuals, European Commission, Luxembourg, accessed 12 September 2026.</t>
        </is>
      </c>
    </row>
    <row r="8" ht="46" customHeight="1">
      <c r="A8" s="23" t="inlineStr">
        <is>
          <t>ES5</t>
        </is>
      </c>
      <c r="B8" s="15" t="inlineStr">
        <is>
          <t>Eurostat</t>
        </is>
      </c>
      <c r="C8" s="15" t="inlineStr">
        <is>
          <t>EU enterprises' online sales reach new heights in 2023 (ddn-20250227-2)</t>
        </is>
      </c>
      <c r="D8" s="15" t="inlineStr">
        <is>
          <t>isoc_ec_evaln2 / tin00110</t>
        </is>
      </c>
      <c r="E8" s="15" t="inlineStr">
        <is>
          <t>https://ec.europa.eu/eurostat/web/products-eurostat-news/w/ddn-20250227-2</t>
        </is>
      </c>
      <c r="F8" s="15" t="inlineStr">
        <is>
          <t>2026-09-12</t>
        </is>
      </c>
      <c r="G8" s="15" t="inlineStr">
        <is>
          <t>Eurostat 2025, EU enterprises' online sales reach new heights, European Commission, Luxembourg, accessed 12 September 2026.</t>
        </is>
      </c>
    </row>
    <row r="9" ht="46" customHeight="1">
      <c r="A9" s="23" t="inlineStr">
        <is>
          <t>ES6</t>
        </is>
      </c>
      <c r="B9" s="15" t="inlineStr">
        <is>
          <t>Eurostat</t>
        </is>
      </c>
      <c r="C9" s="15" t="inlineStr">
        <is>
          <t>Share of enterprises' turnover on e-commerce, by country (country-level values retrieved via search of the Eurostat indicator)</t>
        </is>
      </c>
      <c r="D9" s="15" t="inlineStr">
        <is>
          <t>tin00110</t>
        </is>
      </c>
      <c r="E9" s="15" t="inlineStr">
        <is>
          <t>https://ec.europa.eu/eurostat/databrowser/view/tin00110/default/table?lang=en</t>
        </is>
      </c>
      <c r="F9" s="15" t="inlineStr">
        <is>
          <t>2026-09-12</t>
        </is>
      </c>
      <c r="G9" s="15" t="inlineStr">
        <is>
          <t>Eurostat 2025, Share of enterprises' turnover on e-commerce (tin00110), European Commission, Luxembourg, accessed 12 September 2026.</t>
        </is>
      </c>
    </row>
    <row r="10" ht="46" customHeight="1">
      <c r="A10" s="23" t="inlineStr">
        <is>
          <t>EC1</t>
        </is>
      </c>
      <c r="B10" s="15" t="inlineStr">
        <is>
          <t>European Commission</t>
        </is>
      </c>
      <c r="C10" s="15" t="inlineStr">
        <is>
          <t>Digital Decade 2026 country report: Denmark, SWD(2026) 155 final, Part 7/27, 17 June 2026</t>
        </is>
      </c>
      <c r="D10" s="15" t="inlineStr">
        <is>
          <t>DESI 2026</t>
        </is>
      </c>
      <c r="E10" s="15" t="inlineStr">
        <is>
          <t>https://digital-strategy.ec.europa.eu/en/policies/desi</t>
        </is>
      </c>
      <c r="F10" s="15" t="inlineStr">
        <is>
          <t>2026-09-12</t>
        </is>
      </c>
      <c r="G10" s="15" t="inlineStr">
        <is>
          <t>European Commission 2026, Digital Decade 2026 country report: Denmark, SWD(2026) 155 final, Part 7/27, European Commission, Brussels.</t>
        </is>
      </c>
    </row>
    <row r="11" ht="46" customHeight="1">
      <c r="A11" s="23" t="inlineStr">
        <is>
          <t>DG1</t>
        </is>
      </c>
      <c r="B11" s="15" t="inlineStr">
        <is>
          <t>Digitaliseringsstyrelsen (Danish Agency for Digital Government)</t>
        </is>
      </c>
      <c r="C11" s="15" t="inlineStr">
        <is>
          <t>Statistik om Digital Post</t>
        </is>
      </c>
      <c r="D11" s="15" t="inlineStr"/>
      <c r="E11" s="15" t="inlineStr">
        <is>
          <t>https://digst.dk/tal-og-statistik/</t>
        </is>
      </c>
      <c r="F11" s="15" t="inlineStr">
        <is>
          <t>2026-09-12</t>
        </is>
      </c>
      <c r="G11" s="15" t="inlineStr">
        <is>
          <t>Digitaliseringsstyrelsen 2026, Statistik om Digital Post, Agency for Digital Government, Copenhagen, accessed 12 September 2026.</t>
        </is>
      </c>
    </row>
    <row r="12" ht="46" customHeight="1">
      <c r="A12" s="23" t="inlineStr">
        <is>
          <t>DG2</t>
        </is>
      </c>
      <c r="B12" s="15" t="inlineStr">
        <is>
          <t>Digitaliseringsstyrelsen (Danish Agency for Digital Government)</t>
        </is>
      </c>
      <c r="C12" s="15" t="inlineStr">
        <is>
          <t>Hvem oplever udfordringer ved det digitale?</t>
        </is>
      </c>
      <c r="D12" s="15" t="inlineStr"/>
      <c r="E12" s="15" t="inlineStr">
        <is>
          <t>https://digst.dk/digital-inklusion/viden-om-digital-inklusion/hvem-oplever-udfordringer-ved-det-digitale/</t>
        </is>
      </c>
      <c r="F12" s="15" t="inlineStr">
        <is>
          <t>2026-09-12</t>
        </is>
      </c>
      <c r="G12" s="15" t="inlineStr">
        <is>
          <t>Digitaliseringsstyrelsen 2025, Hvem oplever udfordringer ved det digitale?, Agency for Digital Government, Copenhagen, accessed 12 September 2026.</t>
        </is>
      </c>
    </row>
    <row r="13" ht="46" customHeight="1">
      <c r="A13" s="23" t="inlineStr">
        <is>
          <t>DG3</t>
        </is>
      </c>
      <c r="B13" s="15" t="inlineStr">
        <is>
          <t>Digitaliseringsstyrelsen / Danmarks Statistik</t>
        </is>
      </c>
      <c r="C13" s="15" t="inlineStr">
        <is>
          <t>Effektmåling af SMV:Digital, June 2025</t>
        </is>
      </c>
      <c r="D13" s="15" t="inlineStr"/>
      <c r="E13" s="15" t="inlineStr">
        <is>
          <t>https://digst.dk/media/yz2ouzzz/effektmaaling-af-smvdigital-2025.pdf</t>
        </is>
      </c>
      <c r="F13" s="15" t="inlineStr">
        <is>
          <t>2026-09-12</t>
        </is>
      </c>
      <c r="G13" s="15" t="inlineStr">
        <is>
          <t>Digitaliseringsstyrelsen 2025, Effektmåling af SMV:Digital, prepared by Danmarks Statistik, Agency for Digital Government, Copenhagen, accessed 12 September 2026, &lt;https://digst.dk/media/yz2ouzzz/effektmaaling-af-smvdigital-2025.pdf&gt;.</t>
        </is>
      </c>
    </row>
    <row r="14" ht="46" customHeight="1">
      <c r="A14" s="23" t="inlineStr">
        <is>
          <t>JU1</t>
        </is>
      </c>
      <c r="B14" s="15" t="inlineStr">
        <is>
          <t>Justitia (independent Danish legal think tank)</t>
        </is>
      </c>
      <c r="C14" s="15" t="inlineStr">
        <is>
          <t>Retssikkerhed for digitalt udsatte borgere, July 2022</t>
        </is>
      </c>
      <c r="D14" s="15" t="inlineStr">
        <is>
          <t>Folketinget DIU Alm.del bilag 32</t>
        </is>
      </c>
      <c r="E14" s="15" t="inlineStr">
        <is>
          <t>https://justitia-int.org/wp-content/uploads/2022/09/Rapport_Retssikkerhed-for-digitalt-udsatte-borgere-1.pdf</t>
        </is>
      </c>
      <c r="F14" s="15" t="inlineStr">
        <is>
          <t>2026-09-12</t>
        </is>
      </c>
      <c r="G14" s="15" t="inlineStr">
        <is>
          <t>Justitia 2022, Retssikkerhed for digitalt udsatte borgere, Justitia, Copenhagen, accessed 12 September 2026.</t>
        </is>
      </c>
    </row>
    <row r="15" ht="46" customHeight="1">
      <c r="A15" s="23" t="inlineStr">
        <is>
          <t>IMR1</t>
        </is>
      </c>
      <c r="B15" s="15" t="inlineStr">
        <is>
          <t>Institut for Menneskerettigheder (Danish Institute for Human Rights)</t>
        </is>
      </c>
      <c r="C15" s="15" t="inlineStr">
        <is>
          <t>Rettigheder i den digitale velfærdsstat, December 2023</t>
        </is>
      </c>
      <c r="D15" s="15" t="inlineStr"/>
      <c r="E15" s="15" t="inlineStr">
        <is>
          <t>https://menneskeret.dk/sites/menneskeret.dk/files/media/document/Rettigheder%20i%20den%20digitale%20velf%C3%A6rdsstat.%20Analyse,%20Institut%20for%20Menneskerettigheder,%20december%202023.PDF</t>
        </is>
      </c>
      <c r="F15" s="15" t="inlineStr">
        <is>
          <t>2026-09-12</t>
        </is>
      </c>
      <c r="G15" s="15" t="inlineStr">
        <is>
          <t>Institut for Menneskerettigheder 2023, Rettigheder i den digitale velfærdsstat, Danish Institute for Human Rights, Copenhagen, accessed 12 September 2026.</t>
        </is>
      </c>
    </row>
    <row r="16" ht="46" customHeight="1">
      <c r="A16" s="23" t="inlineStr">
        <is>
          <t>RI1</t>
        </is>
      </c>
      <c r="B16" s="15" t="inlineStr">
        <is>
          <t>Retsinformation (Danish official legal information portal)</t>
        </is>
      </c>
      <c r="C16" s="15" t="inlineStr">
        <is>
          <t>Lov om Offentlig Digital Post, LOV nr 528 af 11/06/2012</t>
        </is>
      </c>
      <c r="D16" s="15" t="inlineStr">
        <is>
          <t>ELI: lta/2012/528</t>
        </is>
      </c>
      <c r="E16" s="15" t="inlineStr">
        <is>
          <t>https://www.retsinformation.dk/eli/lta/2012/528</t>
        </is>
      </c>
      <c r="F16" s="15" t="inlineStr">
        <is>
          <t>2026-09-12</t>
        </is>
      </c>
      <c r="G16" s="15" t="inlineStr">
        <is>
          <t>Denmark 2012, Lov om Offentlig Digital Post (LOV nr 528 af 11/06/2012), Retsinformation, Copenhagen, accessed 12 September 2026.</t>
        </is>
      </c>
    </row>
    <row r="17" ht="46" customHeight="1">
      <c r="A17" s="23" t="inlineStr">
        <is>
          <t>RR1</t>
        </is>
      </c>
      <c r="B17" s="15" t="inlineStr">
        <is>
          <t>Rigsrevisionen (Danish National Audit Office)</t>
        </is>
      </c>
      <c r="C17" s="15" t="inlineStr">
        <is>
          <t>Beretning om besparelsespotentialet ved obligatorisk Digital Post på ca. 1 mia. kr. om året, January 2016</t>
        </is>
      </c>
      <c r="D17" s="15" t="inlineStr"/>
      <c r="E17" s="15" t="inlineStr">
        <is>
          <t>https://www.rigsrevisionen.dk/revisionssager-arkiv/2016/jan/beretning-om-besparelsespotentialet-ved-obligatorisk-digital-post-paa-ca-1-mia-kr-om-aaret</t>
        </is>
      </c>
      <c r="F17" s="15" t="inlineStr">
        <is>
          <t>2026-09-12</t>
        </is>
      </c>
      <c r="G17" s="15" t="inlineStr">
        <is>
          <t>Rigsrevisionen 2016, Beretning om besparelsespotentialet ved obligatorisk Digital Post på ca. 1 mia. kr. om året, National Audit Office of Denmark, Copenhagen, accessed 12 September 2026.</t>
        </is>
      </c>
    </row>
    <row r="18" ht="46" customHeight="1">
      <c r="A18" s="23" t="inlineStr">
        <is>
          <t>RI2</t>
        </is>
      </c>
      <c r="B18" s="15" t="inlineStr">
        <is>
          <t>Finanstilsynet (Danish Financial Supervisory Authority)</t>
        </is>
      </c>
      <c r="C18" s="15" t="inlineStr">
        <is>
          <t>Kontantreglen – lov om betalinger § 81</t>
        </is>
      </c>
      <c r="D18" s="15" t="inlineStr">
        <is>
          <t>Lov om betalinger, § 81</t>
        </is>
      </c>
      <c r="E18" s="15" t="inlineStr">
        <is>
          <t>https://www.finanstilsynet.dk/finansielle-temaer/betalingstjenester-og-e-penge/kontantreglen</t>
        </is>
      </c>
      <c r="F18" s="15" t="inlineStr">
        <is>
          <t>2026-09-12</t>
        </is>
      </c>
      <c r="G18" s="15" t="inlineStr">
        <is>
          <t>Finanstilsynet 2025, Kontantreglen, Danish Financial Supervisory Authority, Copenhagen, accessed 12 September 2026.</t>
        </is>
      </c>
    </row>
    <row r="19" ht="46" customHeight="1">
      <c r="A19" s="23" t="inlineStr">
        <is>
          <t>DG4</t>
        </is>
      </c>
      <c r="B19" s="15" t="inlineStr">
        <is>
          <t>Digitaliseringsstyrelsen (Danish Agency for Digital Government)</t>
        </is>
      </c>
      <c r="C19" s="15" t="inlineStr">
        <is>
          <t>Digital Post – lovgivning, and the MitID transition news archive</t>
        </is>
      </c>
      <c r="D19" s="15" t="inlineStr"/>
      <c r="E19" s="15" t="inlineStr">
        <is>
          <t>https://digst.dk/it-loesninger/digital-post/lovgivning/</t>
        </is>
      </c>
      <c r="F19" s="15" t="inlineStr">
        <is>
          <t>2026-09-12</t>
        </is>
      </c>
      <c r="G19" s="15" t="inlineStr">
        <is>
          <t>Digitaliseringsstyrelsen 2025, Digital Post – lovgivning, Agency for Digital Government, Copenhagen, accessed 12 September 2026.</t>
        </is>
      </c>
    </row>
    <row r="20" ht="46" customHeight="1">
      <c r="A20" s="23" t="inlineStr">
        <is>
          <t>SMV1</t>
        </is>
      </c>
      <c r="B20" s="15" t="inlineStr">
        <is>
          <t>SMV:Digital (Danish SME digitalisation grant scheme)</t>
        </is>
      </c>
      <c r="C20" s="15" t="inlineStr">
        <is>
          <t>Tilskudspuljer i 2026</t>
        </is>
      </c>
      <c r="D20" s="15" t="inlineStr"/>
      <c r="E20" s="15" t="inlineStr">
        <is>
          <t>https://smvdigital.dk/content/ydelser/tilskudspuljer-i-2026/8efa07f4-5032-47f4-b7fa-bab57412b762/</t>
        </is>
      </c>
      <c r="F20" s="15" t="inlineStr">
        <is>
          <t>2026-09-12</t>
        </is>
      </c>
      <c r="G20" s="15" t="inlineStr">
        <is>
          <t>SMV:Digital 2026, Tilskudspuljer i 2026, SMV:Digital, Copenhagen, accessed 12 September 2026.</t>
        </is>
      </c>
    </row>
    <row r="21" ht="46" customHeight="1">
      <c r="A21" s="23" t="inlineStr">
        <is>
          <t>DST2</t>
        </is>
      </c>
      <c r="B21" s="15" t="inlineStr">
        <is>
          <t>Danmarks Statistik</t>
        </is>
      </c>
      <c r="C21" s="15" t="inlineStr">
        <is>
          <t>Befolkningstal (population figures)</t>
        </is>
      </c>
      <c r="D21" s="15" t="inlineStr">
        <is>
          <t>StatBank FOLK1A</t>
        </is>
      </c>
      <c r="E21" s="15" t="inlineStr">
        <is>
          <t>https://www.dst.dk/da/Statistik/emner/borgere/befolkning/befolkningstal</t>
        </is>
      </c>
      <c r="F21" s="15" t="inlineStr">
        <is>
          <t>2026-09-12</t>
        </is>
      </c>
      <c r="G21" s="15" t="inlineStr">
        <is>
          <t>Danmarks Statistik 2026, Befolkningstal, Statistics Denmark, Copenhagen, accessed 12 September 2026.</t>
        </is>
      </c>
    </row>
    <row r="22" ht="46" customHeight="1">
      <c r="A22" s="23" t="inlineStr">
        <is>
          <t>ES7</t>
        </is>
      </c>
      <c r="B22" s="15" t="inlineStr">
        <is>
          <t>Eurostat</t>
        </is>
      </c>
      <c r="C22" s="15" t="inlineStr">
        <is>
          <t>Internet purchases by individuals (2020 onwards) - custom extraction, all individuals, last online purchase in the 12 months, percentage of individuals who used internet within the last year, 2024</t>
        </is>
      </c>
      <c r="D22" s="15" t="inlineStr">
        <is>
          <t>isoc_ec_ib20</t>
        </is>
      </c>
      <c r="E22" s="15" t="inlineStr">
        <is>
          <t>https://ec.europa.eu/eurostat/databrowser/view/isoc_ec_ib20/default/table?lang=en</t>
        </is>
      </c>
      <c r="F22" s="15" t="inlineStr">
        <is>
          <t>2026-09-12</t>
        </is>
      </c>
      <c r="G22"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3" ht="46" customHeight="1">
      <c r="A23" s="23" t="inlineStr">
        <is>
          <t>DST1</t>
        </is>
      </c>
      <c r="B23" s="15" t="inlineStr">
        <is>
          <t>Danmarks Statistik</t>
        </is>
      </c>
      <c r="C23" s="15" t="inlineStr">
        <is>
          <t>Detailomsætningsindeks (retail trade turnover index)</t>
        </is>
      </c>
      <c r="D23" s="15" t="inlineStr">
        <is>
          <t>StatBank; base year rebased 2015 -&gt; 2021</t>
        </is>
      </c>
      <c r="E23" s="15" t="inlineStr">
        <is>
          <t>https://www.dst.dk/da/Statistik/dokumentation/statistikdokumentation/detailomsaetningsindeks</t>
        </is>
      </c>
      <c r="F23" s="15" t="inlineStr">
        <is>
          <t>2026-09-12</t>
        </is>
      </c>
      <c r="G23" s="15" t="inlineStr">
        <is>
          <t>Danmarks Statistik 2025, Detailomsætningsindeks, Statistics Denmark, Copenhagen, accessed 12 September 2026.</t>
        </is>
      </c>
    </row>
    <row r="24" ht="46" customHeight="1">
      <c r="A24" s="23" t="inlineStr">
        <is>
          <t>ES8</t>
        </is>
      </c>
      <c r="B24" s="15" t="inlineStr">
        <is>
          <t>Eurostat</t>
        </is>
      </c>
      <c r="C24" s="15" t="inlineStr">
        <is>
          <t>Labour productivity per person employed and hour worked (EU27_2020=100) - custom extraction, nominal labour productivity per person, Denmark, 2005-2025</t>
        </is>
      </c>
      <c r="D24" s="15" t="inlineStr">
        <is>
          <t>tesem160</t>
        </is>
      </c>
      <c r="E24" s="15" t="inlineStr">
        <is>
          <t>https://ec.europa.eu/eurostat/databrowser/view/tesem160/default/table?lang=en</t>
        </is>
      </c>
      <c r="F24" s="15" t="inlineStr">
        <is>
          <t>2026-09-13</t>
        </is>
      </c>
      <c r="G24" s="15" t="inlineStr">
        <is>
          <t>Eurostat 2026, Labour productivity per person employed and hour worked (EU27_2020=100), dataset tesem160, last updated 9 September 2026, Eurostat, accessed 13 September 2026, &lt;https://ec.europa.eu/eurostat/databrowser/view/tesem160/default/table?lang=en&gt;.</t>
        </is>
      </c>
    </row>
    <row r="25" ht="46" customHeight="1">
      <c r="A25" s="23" t="inlineStr">
        <is>
          <t>ES9</t>
        </is>
      </c>
      <c r="B25" s="15" t="inlineStr">
        <is>
          <t>Eurostat</t>
        </is>
      </c>
      <c r="C25" s="15" t="inlineStr">
        <is>
          <t>E-government activities of individuals via websites - individuals using the internet for interaction with public authorities, last 12 months</t>
        </is>
      </c>
      <c r="D25" s="15" t="inlineStr">
        <is>
          <t>isoc_ciegi_ac</t>
        </is>
      </c>
      <c r="E25" s="15" t="inlineStr">
        <is>
          <t>https://ec.europa.eu/eurostat/databrowser/view/isoc_ciegi_ac/default/table?lang=en</t>
        </is>
      </c>
      <c r="F25" s="15" t="inlineStr">
        <is>
          <t>2026-09-14</t>
        </is>
      </c>
      <c r="G25" s="15" t="inlineStr">
        <is>
          <t>Eurostat 2026, E-government activities of individuals via websites, dataset isoc_ciegi_ac, Statistical Office of the European Union, Luxembourg, accessed 14 September 2026, &lt;https://ec.europa.eu/eurostat/databrowser/view/isoc_ciegi_ac/default/table?lang=en&gt;.</t>
        </is>
      </c>
    </row>
    <row r="26" ht="46" customHeight="1">
      <c r="A26" s="23" t="inlineStr">
        <is>
          <t>DG5</t>
        </is>
      </c>
      <c r="B26" s="15" t="inlineStr">
        <is>
          <t>Digitaliseringsstyrelsen (Danish Agency for Digital Government)</t>
        </is>
      </c>
      <c r="C26" s="15" t="inlineStr">
        <is>
          <t>NemID is about to be closed</t>
        </is>
      </c>
      <c r="D26" s="15" t="inlineStr"/>
      <c r="E26" s="15" t="inlineStr">
        <is>
          <t>https://www.mitid.dk/en-gb/about-mitid/news/nemid-is-about-to-be-closed/</t>
        </is>
      </c>
      <c r="F26" s="15" t="inlineStr">
        <is>
          <t>2026-09-14</t>
        </is>
      </c>
      <c r="G26" s="15" t="inlineStr">
        <is>
          <t>Digitaliseringsstyrelsen 2023, NemID is about to be closed, MitID, Agency for Digital Government, Copenhagen, accessed 14 September 2026, &lt;https://www.mitid.dk/en-gb/about-mitid/news/nemid-is-about-to-be-closed/&gt;.</t>
        </is>
      </c>
    </row>
    <row r="27" ht="46" customHeight="1">
      <c r="A27" s="23" t="inlineStr">
        <is>
          <t>LOV1</t>
        </is>
      </c>
      <c r="B27" s="15" t="inlineStr">
        <is>
          <t>Folketinget</t>
        </is>
      </c>
      <c r="C27" s="15" t="inlineStr">
        <is>
          <t>[REFERENCE ONLY - supports argument in the report; no workbook value depends on it] Lov om fravigelse fra obligatorisk digital selvbetjening (Act on derogation from mandatory digital self-service)</t>
        </is>
      </c>
      <c r="D27" s="15" t="inlineStr">
        <is>
          <t>LOV nr 603 af 31/05/2023</t>
        </is>
      </c>
      <c r="E27" s="15" t="inlineStr">
        <is>
          <t>https://www.retsinformation.dk/eli/lta/2023/603</t>
        </is>
      </c>
      <c r="F27" s="15" t="inlineStr">
        <is>
          <t>2026-09-13</t>
        </is>
      </c>
      <c r="G27" s="15" t="inlineStr">
        <is>
          <t>Folketinget 2023, Lov om fravigelse fra obligatorisk digital selvbetjening, LOV nr 603 af 31. maj 2023, in force 1 June 2023, Retsinformation, accessed 13 September 2026, &lt;https://www.retsinformation.dk/eli/lta/2023/603&gt;.</t>
        </is>
      </c>
    </row>
    <row r="28" ht="46" customHeight="1">
      <c r="A28" s="23" t="inlineStr">
        <is>
          <t>BRH1</t>
        </is>
      </c>
      <c r="B28" s="15" t="inlineStr">
        <is>
          <t>Bundesrechnungshof</t>
        </is>
      </c>
      <c r="C28" s="15" t="inlineStr">
        <is>
          <t>[REFERENCE ONLY - supports argument in the report; no workbook value depends on it] Bemerkungen 2022 zur Haushalts- und Wirtschaftsführung des Bundes - findings on the Digital Jetzt lottery allocation</t>
        </is>
      </c>
      <c r="D28" s="15" t="inlineStr">
        <is>
          <t>Bemerkungen 2022</t>
        </is>
      </c>
      <c r="E28" s="15" t="inlineStr">
        <is>
          <t>https://www.bundesrechnungshof.de/SharedDocs/Pressemitteilungen/DE/2022/bemerkungen2022-hauptband.html</t>
        </is>
      </c>
      <c r="F28" s="15" t="inlineStr">
        <is>
          <t>2026-09-13</t>
        </is>
      </c>
      <c r="G28" s="15" t="inlineStr">
        <is>
          <t>Bundesrechnungshof 2022, Bemerkungen 2022 zur Haushalts- und Wirtschaftsführung des Bundes, German Federal Court of Auditors, accessed 13 September 2026, &lt;https://www.bundesrechnungshof.de/SharedDocs/Pressemitteilungen/DE/2022/bemerkungen2022-hauptband.html&gt;.</t>
        </is>
      </c>
    </row>
    <row r="29" ht="46" customHeight="1">
      <c r="A29" s="23" t="inlineStr">
        <is>
          <t>CE1</t>
        </is>
      </c>
      <c r="B29" s="15" t="inlineStr">
        <is>
          <t>Conseil d'État (France)</t>
        </is>
      </c>
      <c r="C29" s="15" t="inlineStr">
        <is>
          <t>[REFERENCE ONLY - supports argument in the report; no workbook value depends on it] Decision No. 452798 - partial annulment of the ANEF decree mandating online-only residence permit applications</t>
        </is>
      </c>
      <c r="D29" s="15" t="inlineStr">
        <is>
          <t>No. 452798</t>
        </is>
      </c>
      <c r="E29" s="15" t="inlineStr">
        <is>
          <t>https://www.conseil-etat.fr/fr/arianeweb/CE/decision/2022-06-03/452798</t>
        </is>
      </c>
      <c r="F29" s="15" t="inlineStr">
        <is>
          <t>2026-09-13</t>
        </is>
      </c>
      <c r="G29" s="15" t="inlineStr">
        <is>
          <t>Conseil d'État 2022, Decision No. 452798, 3 June 2022, Conseil d'État, Paris, accessed 13 September 2026, &lt;https://www.conseil-etat.fr/fr/arianeweb/CE/decision/2022-06-03/452798&gt;.</t>
        </is>
      </c>
    </row>
    <row r="30" ht="46" customHeight="1">
      <c r="A30" s="23" t="inlineStr">
        <is>
          <t>BE1</t>
        </is>
      </c>
      <c r="B30" s="15" t="inlineStr">
        <is>
          <t>Cour constitutionnelle (Belgium)</t>
        </is>
      </c>
      <c r="C30" s="15" t="inlineStr">
        <is>
          <t>[REFERENCE ONLY - supports argument in the report; no workbook value depends on it] Arrêt no. 126/2025 - Brussels Digital ordinance; cumulative non-digital access guarantees</t>
        </is>
      </c>
      <c r="D30" s="15" t="inlineStr">
        <is>
          <t>ECLI:BE:GHCC:2025:ARR.126</t>
        </is>
      </c>
      <c r="E30" s="15" t="inlineStr">
        <is>
          <t>https://fr.const-court.be/public/f/2025/2025-126f.pdf</t>
        </is>
      </c>
      <c r="F30" s="15" t="inlineStr">
        <is>
          <t>2026-09-13</t>
        </is>
      </c>
      <c r="G30" s="15" t="inlineStr">
        <is>
          <t>Cour constitutionnelle 2025, Arrêt no. 126/2025, 25 September 2025, ECLI:BE:GHCC:2025:ARR.126, Cour constitutionnelle, Brussels, accessed 13 September 2026, &lt;https://fr.const-court.be/public/f/2025/2025-126f.pdf&gt;.</t>
        </is>
      </c>
    </row>
    <row r="31" ht="46" customHeight="1">
      <c r="A31" s="23" t="inlineStr">
        <is>
          <t>NO1</t>
        </is>
      </c>
      <c r="B31" s="15" t="inlineStr">
        <is>
          <t>Digitaliseringsdirektoratet (Digdir)</t>
        </is>
      </c>
      <c r="C31" s="15" t="inlineStr">
        <is>
          <t>[REFERENCE ONLY - supports argument in the report; no workbook value depends on it] Kontakt- og reservasjonsregisteret and the statutory right to opt out of digital communication under eForvaltningsforskriften</t>
        </is>
      </c>
      <c r="D31" s="15" t="inlineStr">
        <is>
          <t>KRR</t>
        </is>
      </c>
      <c r="E31" s="15" t="inlineStr">
        <is>
          <t>https://www.digdir.no/digitale-felleslosninger/kontakt-og-reservasjonsregisteret-krr/865</t>
        </is>
      </c>
      <c r="F31" s="15" t="inlineStr">
        <is>
          <t>2026-09-13</t>
        </is>
      </c>
      <c r="G31" s="15" t="inlineStr">
        <is>
          <t>Digitaliseringsdirektoratet 2025, Kontakt- og reservasjonsregisteret, Norwegian Digitalisation Agency, accessed 13 September 2026, &lt;https://www.digdir.no/digitale-felleslosninger/kontakt-og-reservasjonsregisteret-krr/865&gt;.</t>
        </is>
      </c>
    </row>
    <row r="32" ht="46" customHeight="1">
      <c r="A32" s="23" t="inlineStr">
        <is>
          <t>GS1</t>
        </is>
      </c>
      <c r="B32" s="15" t="inlineStr">
        <is>
          <t>Tran, T.T.</t>
        </is>
      </c>
      <c r="C32" s="15" t="inlineStr">
        <is>
          <t>[REFERENCE ONLY - supports argument in the report; no workbook value depends on it] Guest speaker session: corporate sustainability and the adoption of artificial intelligence</t>
        </is>
      </c>
      <c r="D32" s="15" t="inlineStr">
        <is>
          <t>ECON1596/ECON1597 guest lecture</t>
        </is>
      </c>
      <c r="E32" s="15" t="inlineStr"/>
      <c r="F32" s="15" t="inlineStr"/>
      <c r="G32" s="15" t="inlineStr">
        <is>
          <t>Tran, TT 2026, 'Guest speaker session: corporate sustainability and the adoption of artificial intelligence', guest lecture, ECON1596 Business Challenges in the Digital Economy, RMIT University Vietnam, Ho Chi Minh City, [LECTURE DATE: to be completed by the author].</t>
        </is>
      </c>
    </row>
    <row r="33" ht="46" customHeight="1">
      <c r="A33" s="23" t="inlineStr">
        <is>
          <t>HOW1</t>
        </is>
      </c>
      <c r="B33" s="15" t="inlineStr">
        <is>
          <t>Howell, S.T.</t>
        </is>
      </c>
      <c r="C33" s="15" t="inlineStr">
        <is>
          <t>[REFERENCE ONLY - supports argument in the report; no workbook value depends on it] Financing Innovation: Evidence from R&amp;D Grants</t>
        </is>
      </c>
      <c r="D33" s="15" t="inlineStr">
        <is>
          <t>American Economic Review 107(4)</t>
        </is>
      </c>
      <c r="E33" s="15" t="inlineStr">
        <is>
          <t>https://www.aeaweb.org/articles?id=10.1257%2Faer.20150808</t>
        </is>
      </c>
      <c r="F33" s="15" t="inlineStr">
        <is>
          <t>2026-09-13</t>
        </is>
      </c>
      <c r="G33" s="15" t="inlineStr">
        <is>
          <t>Howell, ST 2017, 'Financing innovation: evidence from R&amp;D grants', American Economic Review, vol. 107, no. 4, pp. 1136-1164.</t>
        </is>
      </c>
    </row>
    <row r="34" ht="46" customHeight="1">
      <c r="A34" s="23" t="inlineStr">
        <is>
          <t>SAN1</t>
        </is>
      </c>
      <c r="B34" s="15" t="inlineStr">
        <is>
          <t>Santoleri, P., Barrows, G., Caravella, S., Crespi, F. and Pellegrino, G.</t>
        </is>
      </c>
      <c r="C34" s="15" t="inlineStr">
        <is>
          <t>[REFERENCE ONLY - supports argument in the report; no workbook value depends on it] The Causal Effects of R&amp;D Grants: Evidence from a Regression Discontinuity - the Horizon 2020 SME Instrument scoring threshold</t>
        </is>
      </c>
      <c r="D34" s="15" t="inlineStr">
        <is>
          <t>Working paper</t>
        </is>
      </c>
      <c r="E34" s="15" t="inlineStr">
        <is>
          <t>https://pietrosantoleri.github.io/files/Santoleri_et_al_The_effects_of_R_D_grants.pdf</t>
        </is>
      </c>
      <c r="F34" s="15" t="inlineStr">
        <is>
          <t>2026-09-13</t>
        </is>
      </c>
      <c r="G34" s="15" t="inlineStr">
        <is>
          <t>Santoleri, P, Barrows, G, Caravella, S, Crespi, F and Pellegrino, G 2022, The causal effects of R&amp;D grants: evidence from a regression discontinuity, working paper, accessed 13 September 2026, &lt;https://pietrosantoleri.github.io/files/Santoleri_et_al_The_effects_of_R_D_grants.pdf&gt;.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3"/>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DK.DGX.EGOV.USE</t>
        </is>
      </c>
      <c r="B3" s="15" t="inlineStr">
        <is>
          <t>Share of individuals who used the website or app of a public authority for private purposes in the last 12 months.</t>
        </is>
      </c>
      <c r="C3" s="15" t="inlineStr">
        <is>
          <t>Base is ALL individuals aged 16-74, not internet users, so it is not comparable with the DK.ECM.IND.BUY series. Records whether a person interacted at all, once, in a year: it measures reach, not frequency, competence or independent use.</t>
        </is>
      </c>
    </row>
    <row r="4" ht="44" customHeight="1">
      <c r="A4" s="25" t="inlineStr">
        <is>
          <t>DK.PAY.CASH.POS</t>
        </is>
      </c>
      <c r="B4" s="15" t="inlineStr">
        <is>
          <t>Cash as a share of the NUMBER of payments made at physical points of sale.</t>
        </is>
      </c>
      <c r="C4" s="15" t="inlineStr">
        <is>
          <t>Not a share of value. Excludes e-commerce entirely.</t>
        </is>
      </c>
    </row>
    <row r="5" ht="44" customHeight="1">
      <c r="A5" s="25" t="inlineStr">
        <is>
          <t>DK.PAY.CRD.PHYS</t>
        </is>
      </c>
      <c r="B5" s="15" t="inlineStr">
        <is>
          <t>Physical payment cards as a share of the number of in-store payments.</t>
        </is>
      </c>
      <c r="C5" s="15" t="inlineStr">
        <is>
          <t>Falls partly because wallets replace the physical card, not because card payment declines.</t>
        </is>
      </c>
    </row>
    <row r="6" ht="44" customHeight="1">
      <c r="A6" s="25" t="inlineStr">
        <is>
          <t>DK.PAY.WLT.SHR</t>
        </is>
      </c>
      <c r="B6" s="15" t="inlineStr">
        <is>
          <t>Card-based mobile wallets as a share of the number of in-store payments.</t>
        </is>
      </c>
      <c r="C6" s="15" t="inlineStr">
        <is>
          <t>Wallet payments are card payments. Do not add to the card share.</t>
        </is>
      </c>
    </row>
    <row r="7" ht="44" customHeight="1">
      <c r="A7" s="25" t="inlineStr">
        <is>
          <t>DK.PAY.WLT.OWN</t>
        </is>
      </c>
      <c r="B7" s="15" t="inlineStr">
        <is>
          <t>Share of CITIZENS with a wallet solution on their phone.</t>
        </is>
      </c>
      <c r="C7" s="15" t="inlineStr">
        <is>
          <t>Different denominator from the payment-share series. Memo only - deliberately excluded from Figure 2.</t>
        </is>
      </c>
    </row>
    <row r="8" ht="44" customHeight="1">
      <c r="A8" s="25" t="inlineStr">
        <is>
          <t>DK.PRD.LP.PER</t>
        </is>
      </c>
      <c r="B8" s="15" t="inlineStr">
        <is>
          <t>Nominal labour productivity per person employed, indexed so that the EU27 (2020 composition) equals 100 in each year.</t>
        </is>
      </c>
      <c r="C8" s="15" t="inlineStr">
        <is>
          <t>RELATIVE measure. A rise means Denmark gained ON THE EU AVERAGE; it is not a Danish growth rate and must never be read as one. Per PERSON, so it is sensitive to part-time work - the per-HOUR variant is the cleaner productivity measure. Current prices in PPS, so nominal.</t>
        </is>
      </c>
    </row>
    <row r="9" ht="44" customHeight="1">
      <c r="A9" s="25" t="inlineStr">
        <is>
          <t>DK.FIN.BRCH</t>
        </is>
      </c>
      <c r="B9" s="15" t="inlineStr">
        <is>
          <t>Number of retail bank branches operated by Danish credit institutions.</t>
        </is>
      </c>
      <c r="C9" s="15" t="inlineStr">
        <is>
          <t>Consolidation and digitalisation both reduce this. The series alone cannot separate the two causes.</t>
        </is>
      </c>
    </row>
    <row r="10" ht="44" customHeight="1">
      <c r="A10" s="25" t="inlineStr">
        <is>
          <t>DK.ECM.IND.BUY</t>
        </is>
      </c>
      <c r="B10" s="15" t="inlineStr">
        <is>
          <t>Individuals who purchased goods or services online in the last 12 months.</t>
        </is>
      </c>
      <c r="C10" s="15" t="inlineStr">
        <is>
          <t>DENOMINATOR BREAK at 2020: % of individuals before, % of internet users after. Never plot 2019 with later years.</t>
        </is>
      </c>
    </row>
    <row r="11" ht="44" customHeight="1">
      <c r="A11" s="25" t="inlineStr">
        <is>
          <t>DK.ECM.ENT.TRN</t>
        </is>
      </c>
      <c r="B11" s="15" t="inlineStr">
        <is>
          <t>E-commerce sales as a share of total enterprise turnover.</t>
        </is>
      </c>
      <c r="C11" s="15" t="inlineStr">
        <is>
          <t>Measures INTENSITY of online selling, not how many firms sell online. Pair with DK.ECM.ENT.SHR.</t>
        </is>
      </c>
    </row>
    <row r="12" ht="44" customHeight="1">
      <c r="A12" s="25" t="inlineStr">
        <is>
          <t>DK.ECM.ENT.SHR</t>
        </is>
      </c>
      <c r="B12" s="15" t="inlineStr">
        <is>
          <t>Share of enterprises making any e-sales.</t>
        </is>
      </c>
      <c r="C12" s="15" t="inlineStr">
        <is>
          <t>Measures BREADTH of adoption. Flat breadth with rising intensity means incumbents deepening, not new entrants.</t>
        </is>
      </c>
    </row>
    <row r="13" ht="44" customHeight="1">
      <c r="A13" s="25" t="inlineStr">
        <is>
          <t>DK.DGP.EXMP</t>
        </is>
      </c>
      <c r="B13" s="15" t="inlineStr">
        <is>
          <t>Citizens formally exempt from mandatory Digital Post under the statutory exemption regime.</t>
        </is>
      </c>
      <c r="C13" s="15" t="inlineStr">
        <is>
          <t>An administrative status, not a measure of capability. A citizen may struggle without being exempt.</t>
        </is>
      </c>
    </row>
    <row r="14" ht="44" customHeight="1">
      <c r="A14" s="25" t="inlineStr">
        <is>
          <t>DK.DGX.DIFF</t>
        </is>
      </c>
      <c r="B14" s="15" t="inlineStr">
        <is>
          <t>Population estimated to face difficulties using digital public services.</t>
        </is>
      </c>
      <c r="C14" s="15" t="inlineStr">
        <is>
          <t>A capability estimate, not an administrative count. Much larger than the exemption rate - that gap is the analytical point.</t>
        </is>
      </c>
    </row>
    <row r="15" ht="44" customHeight="1">
      <c r="A15" s="25" t="inlineStr">
        <is>
          <t>DK.DGX.JUST</t>
        </is>
      </c>
      <c r="B15" s="15" t="inlineStr">
        <is>
          <t>Justitia's estimate of the digitally disadvantaged adult population.</t>
        </is>
      </c>
      <c r="C15" s="15" t="inlineStr">
        <is>
          <t>Think-tank estimate, broadest definition of the five. Cite as an upper bound, not as an official statistic.</t>
        </is>
      </c>
    </row>
    <row r="16" ht="44" customHeight="1">
      <c r="A16" s="25" t="inlineStr">
        <is>
          <t>DK.GOV.DPS.CIT</t>
        </is>
      </c>
      <c r="B16" s="15" t="inlineStr">
        <is>
          <t>eGovernment Benchmark composite score for citizen-facing digital public services.</t>
        </is>
      </c>
      <c r="C16" s="15" t="inlineStr">
        <is>
          <t>A composite index, not a usage rate. Denmark scores BELOW the EU average despite near-universal mandated use.</t>
        </is>
      </c>
    </row>
    <row r="17" ht="44" customHeight="1">
      <c r="A17" s="25" t="inlineStr">
        <is>
          <t>DK.ENV.WEEE</t>
        </is>
      </c>
      <c r="B17" s="15" t="inlineStr">
        <is>
          <t>Share of collected ICT-related electrical waste recycled or prepared for reuse.</t>
        </is>
      </c>
      <c r="C17" s="15" t="inlineStr">
        <is>
          <t>Covers two WEEE categories only. Denominator is waste COLLECTED, not waste generated.</t>
        </is>
      </c>
    </row>
    <row r="18" ht="44" customHeight="1">
      <c r="A18" s="25" t="inlineStr">
        <is>
          <t>DK.PAY.DIG.POS.NUM, DK.PAY.DIG.POS.VAL</t>
        </is>
      </c>
      <c r="B18" s="15" t="inlineStr">
        <is>
          <t>Digital share of physical-retail payments, by NUMBER and by VALUE respectively.</t>
        </is>
      </c>
      <c r="C18" s="15" t="inlineStr">
        <is>
          <t>Two different denominators. The value share exceeds the number share because cash survives in small transactions. Never quote one as the other, and never average them.</t>
        </is>
      </c>
    </row>
    <row r="19" ht="44" customHeight="1">
      <c r="A19" s="25" t="inlineStr">
        <is>
          <t>DK.FIN.INST</t>
        </is>
      </c>
      <c r="B19" s="15" t="inlineStr">
        <is>
          <t>Number of financial institutions (credit institutions) operating in Denmark.</t>
        </is>
      </c>
      <c r="C19" s="15" t="inlineStr">
        <is>
          <t>Base year 1991. Do NOT difference against DK.FIN.BRCH, which starts in 2004 - see F9_CONSOLIDATION.</t>
        </is>
      </c>
    </row>
    <row r="20" ht="44" customHeight="1">
      <c r="A20" s="25" t="inlineStr">
        <is>
          <t>DK.FIN.EMP</t>
        </is>
      </c>
      <c r="B20" s="15" t="inlineStr">
        <is>
          <t>Number of persons employed by Danish banks.</t>
        </is>
      </c>
      <c r="C20" s="15" t="inlineStr">
        <is>
          <t>Base year 1991, so comparable with DK.FIN.INST but NOT with the branch series. Falls far less than institutions - that asymmetry is the finding in F9_CONSOLIDATION, not a data error.</t>
        </is>
      </c>
    </row>
    <row r="21" ht="44" customHeight="1">
      <c r="A21" s="25" t="inlineStr">
        <is>
          <t>DK.SKL.1624, DK.SKL.2554, DK.SKL.5574
(EU.SKL.1624, EU.SKL.2554, EU.SKL.5574)</t>
        </is>
      </c>
      <c r="B21" s="15" t="inlineStr">
        <is>
          <t>Individuals with at least basic overall digital skills, by age band. EU.SKL.* are the matching EU-27 comparators.</t>
        </is>
      </c>
      <c r="C21" s="15" t="inlineStr">
        <is>
          <t>Age bands, not a time series - all three are the same reference year. The DIGCOMP methodology was revised in 2021; do not join to pre-2021 skills figures.</t>
        </is>
      </c>
    </row>
    <row r="22" ht="44" customHeight="1">
      <c r="A22" s="25" t="inlineStr">
        <is>
          <t>DK.DGP.EXMP.N</t>
        </is>
      </c>
      <c r="B22" s="15" t="inlineStr">
        <is>
          <t>Citizens formally exempt from Digital Post, as a HEADCOUNT.</t>
        </is>
      </c>
      <c r="C22" s="15" t="inlineStr">
        <is>
          <t>A count, not a rate. Converting between this and DK.DGP.EXMP requires DK.POP.TOT and an assumption about the 15+ denominator - see 07_LIMITATIONS.</t>
        </is>
      </c>
    </row>
    <row r="23" ht="44" customHeight="1">
      <c r="A23" s="25" t="inlineStr">
        <is>
          <t>DK.DGP.EXMP.7584, DK.DGP.EXMP.85P</t>
        </is>
      </c>
      <c r="B23" s="15" t="inlineStr">
        <is>
          <t>Digital Post exemption rate within the 75-84 and 85+ age bands.</t>
        </is>
      </c>
      <c r="C23" s="15" t="inlineStr">
        <is>
          <t>Denominator is the age group, not the population. These are far above the headline 4.7% and must not be compared with it directly.</t>
        </is>
      </c>
    </row>
    <row r="24" ht="44" customHeight="1">
      <c r="A24" s="25" t="inlineStr">
        <is>
          <t>DK.DGX.NOUSE</t>
        </is>
      </c>
      <c r="B24" s="15" t="inlineStr">
        <is>
          <t>Individuals who do not use digital public services at all.</t>
        </is>
      </c>
      <c r="C24" s="15" t="inlineStr">
        <is>
          <t>Non-use, not inability. Includes those with no need to transact as well as those unable to.</t>
        </is>
      </c>
    </row>
    <row r="25" ht="44" customHeight="1">
      <c r="A25" s="25" t="inlineStr">
        <is>
          <t>DK.DGX.DISADV.LO, DK.DGX.DISADV.HI</t>
        </is>
      </c>
      <c r="B25" s="15" t="inlineStr">
        <is>
          <t>Lower and upper bound of the 'digitally disadvantaged' adult population.</t>
        </is>
      </c>
      <c r="C25" s="15" t="inlineStr">
        <is>
          <t>A RANGE published as a range. Quote both bounds; citing either alone misrepresents the source's own uncertainty.</t>
        </is>
      </c>
    </row>
    <row r="26" ht="44" customHeight="1">
      <c r="A26" s="25" t="inlineStr">
        <is>
          <t>DK.POP.TOT</t>
        </is>
      </c>
      <c r="B26" s="15" t="inlineStr">
        <is>
          <t>Resident population of Denmark.</t>
        </is>
      </c>
      <c r="C26" s="15" t="inlineStr">
        <is>
          <t>Used only as a denominator for converting headcounts to rates. Total residents, not the 15+ base the exemption rate actually uses.</t>
        </is>
      </c>
    </row>
    <row r="27" ht="44" customHeight="1">
      <c r="A27" s="25" t="inlineStr">
        <is>
          <t>DK.TRU.DPS</t>
        </is>
      </c>
      <c r="B27" s="15" t="inlineStr">
        <is>
          <t>Share of the population expressing trust in digital public solutions.</t>
        </is>
      </c>
      <c r="C27" s="15" t="inlineStr">
        <is>
          <t>Self-reported attitude, not behaviour. High trust coexists with the exclusion measures in F4 - the two are not in contradiction.</t>
        </is>
      </c>
    </row>
    <row r="28" ht="44" customHeight="1">
      <c r="A28" s="25" t="inlineStr">
        <is>
          <t>DK.TRU.DGP.SEC</t>
        </is>
      </c>
      <c r="B28" s="15" t="inlineStr">
        <is>
          <t>Share of the population perceiving Digital Post as secure.</t>
        </is>
      </c>
      <c r="C28" s="15" t="inlineStr">
        <is>
          <t>Narrower than DK.TRU.DPS: one service, not the whole system. Do not treat the two as one series.</t>
        </is>
      </c>
    </row>
    <row r="29" ht="44" customHeight="1">
      <c r="A29" s="25" t="inlineStr">
        <is>
          <t>DK.ENT.DII</t>
        </is>
      </c>
      <c r="B29" s="15" t="inlineStr">
        <is>
          <t>SMEs reaching at least basic digital intensity (DII).</t>
        </is>
      </c>
      <c r="C29" s="15" t="inlineStr">
        <is>
          <t>A composite threshold count of adopted technologies, not an intensity of use. A firm clears it by adopting breadth cheaply.</t>
        </is>
      </c>
    </row>
    <row r="30" ht="44" customHeight="1">
      <c r="A30" s="25" t="inlineStr">
        <is>
          <t>DK.ENT.AI, DK.ENT.AI.LRG, DK.ENT.AI.SME</t>
        </is>
      </c>
      <c r="B30" s="15" t="inlineStr">
        <is>
          <t>Enterprises adopting AI: all, large (250+) and SMEs (10-249).</t>
        </is>
      </c>
      <c r="C30" s="15" t="inlineStr">
        <is>
          <t>The headline rate is close to the SME rate because SMEs dominate by count. The large-firm gap is the real dispersion - report the split, not just the average.</t>
        </is>
      </c>
    </row>
    <row r="31" ht="44" customHeight="1">
      <c r="A31" s="25" t="inlineStr">
        <is>
          <t>DK.GOV.DPS.XB</t>
        </is>
      </c>
      <c r="B31" s="15" t="inlineStr">
        <is>
          <t>eGovernment Benchmark score for CROSS-BORDER citizen services.</t>
        </is>
      </c>
      <c r="C31" s="15" t="inlineStr">
        <is>
          <t>Scored against a different service basket from DK.GOV.DPS.CIT. Lower is not evidence of decline; it is a different test.</t>
        </is>
      </c>
    </row>
    <row r="32" ht="44" customHeight="1">
      <c r="A32" s="25" t="inlineStr">
        <is>
          <t>DK.GOV.DGP.SAVE.PLAN, DK.GOV.DGP.SAVE.VERIF</t>
        </is>
      </c>
      <c r="B32" s="15" t="inlineStr">
        <is>
          <t>Digital Post annual public saving: as projected, and as verifiable by audit.</t>
        </is>
      </c>
      <c r="C32" s="15" t="inlineStr">
        <is>
          <t>The pair exists to be compared - the verified figure is well under half the projection. Never cite the projection alone as a realised saving.</t>
        </is>
      </c>
    </row>
    <row r="33" ht="44" customHeight="1">
      <c r="A33" s="25" t="inlineStr">
        <is>
          <t>DK.SME.SMVD.PROJ, DK.SME.SMVD.INV, DK.SME.SMVD.NOINV</t>
        </is>
      </c>
      <c r="B33" s="15" t="inlineStr">
        <is>
          <t>SMV:Digital programme: projects supported, and participants who did or did not invest further.</t>
        </is>
      </c>
      <c r="C33"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 t="inlineStr">
        <is>
          <t>AI ADOPTION BY FIRM SIZE - who could build on the rail</t>
        </is>
      </c>
    </row>
    <row r="17" ht="28" customHeight="1">
      <c r="A17" s="8" t="inlineStr">
        <is>
          <t>firm size</t>
        </is>
      </c>
      <c r="B17" s="8" t="inlineStr">
        <is>
          <t>% adopting AI</t>
        </is>
      </c>
      <c r="C17" s="8" t="inlineStr">
        <is>
          <t>reading</t>
        </is>
      </c>
    </row>
    <row r="18" ht="30" customHeight="1">
      <c r="A18" s="27" t="inlineStr">
        <is>
          <t>All enterprises</t>
        </is>
      </c>
      <c r="B18" s="32">
        <f>IF(COUNTIFS('02_MASTER'!$B:$B,"DK.ENT.AI",'02_MASTER'!$E:$E,2025)=0,"",SUMIFS('02_MASTER'!$F:$F,'02_MASTER'!$B:$B,"DK.ENT.AI",'02_MASTER'!$E:$E,2025))</f>
        <v/>
      </c>
      <c r="C18" s="30" t="inlineStr">
        <is>
          <t>Denmark's headline AI adoption rate.</t>
        </is>
      </c>
    </row>
    <row r="19" ht="30" customHeight="1">
      <c r="A19" s="27" t="inlineStr">
        <is>
          <t>Large enterprises</t>
        </is>
      </c>
      <c r="B19" s="32">
        <f>IF(COUNTIFS('02_MASTER'!$B:$B,"DK.ENT.AI.LRG",'02_MASTER'!$E:$E,2025)=0,"",SUMIFS('02_MASTER'!$F:$F,'02_MASTER'!$B:$B,"DK.ENT.AI.LRG",'02_MASTER'!$E:$E,2025))</f>
        <v/>
      </c>
      <c r="C19" s="30" t="inlineStr">
        <is>
          <t>Roughly three in four.</t>
        </is>
      </c>
    </row>
    <row r="20" ht="30" customHeight="1">
      <c r="A20" s="27" t="inlineStr">
        <is>
          <t>Small and medium enterprises</t>
        </is>
      </c>
      <c r="B20" s="32">
        <f>IF(COUNTIFS('02_MASTER'!$B:$B,"DK.ENT.AI.SME",'02_MASTER'!$E:$E,2025)=0,"",SUMIFS('02_MASTER'!$F:$F,'02_MASTER'!$B:$B,"DK.ENT.AI.SME",'02_MASTER'!$E:$E,2025))</f>
        <v/>
      </c>
      <c r="C20" s="30" t="inlineStr">
        <is>
          <t>Two in five, though 92.45% of them clear the basic digital-intensity threshold. The constraint is complementary capital, not connectivity.</t>
        </is>
      </c>
    </row>
    <row r="22">
      <c r="A22"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row r="26">
      <c r="F26" s="33" t="inlineStr">
        <is>
          <t>AI adoption by firm size, Denmark 2025</t>
        </is>
      </c>
    </row>
    <row r="27">
      <c r="F27" s="26" t="inlineStr">
        <is>
          <t>Large firms against SMEs. The aggregate is greyed because it sits between them by construction.</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Shares of the ~7,000 supported projects (count in the table, off-axis). Participation only; no effect size is plotted because none was verified.</t>
        </is>
      </c>
    </row>
    <row r="5">
      <c r="A5" s="27" t="inlineStr">
        <is>
          <t>Participants investing further during the project</t>
        </is>
      </c>
      <c r="B5" s="35">
        <f>IF(COUNTIFS('02_MASTER'!$B:$B,"DK.SME.SMVD.INV",'02_MASTER'!$E:$E,2025)=0,"",SUMIFS('02_MASTER'!$F:$F,'02_MASTER'!$B:$B,"DK.SME.SMVD.INV",'02_MASTER'!$E:$E,2025))</f>
        <v/>
      </c>
      <c r="C5" s="29" t="inlineStr">
        <is>
          <t>% of participants</t>
        </is>
      </c>
    </row>
    <row r="6">
      <c r="A6" s="27" t="inlineStr">
        <is>
          <t>Participants with no further investment plans</t>
        </is>
      </c>
      <c r="B6" s="35">
        <f>IF(COUNTIFS('02_MASTER'!$B:$B,"DK.SME.SMVD.NOINV",'02_MASTER'!$E:$E,2025)=0,"",SUMIFS('02_MASTER'!$F:$F,'02_MASTER'!$B:$B,"DK.SME.SMVD.NOINV",'02_MASTER'!$E:$E,2025))</f>
        <v/>
      </c>
      <c r="C6" s="29" t="inlineStr">
        <is>
          <t>% of participants</t>
        </is>
      </c>
    </row>
    <row r="7">
      <c r="A7" s="27" t="inlineStr">
        <is>
          <t>Digitalisation projects supported since 2018</t>
        </is>
      </c>
      <c r="B7" s="28">
        <f>IF(COUNTIFS('02_MASTER'!$B:$B,"DK.SME.SMVD.PROJ",'02_MASTER'!$E:$E,2025)=0,"",SUMIFS('02_MASTER'!$F:$F,'02_MASTER'!$B:$B,"DK.SME.SMVD.PROJ",'02_MASTER'!$E:$E,2025))</f>
        <v/>
      </c>
      <c r="C7" s="29" t="inlineStr">
        <is>
          <t>count</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22" customWidth="1" min="1" max="1"/>
    <col width="16" customWidth="1" min="2" max="2"/>
    <col width="16" customWidth="1" min="3" max="3"/>
  </cols>
  <sheetData>
    <row r="1" ht="22" customHeight="1">
      <c r="A1" s="7" t="inlineStr">
        <is>
          <t>Figure 11 - ICT waste recycled or prepared for reuse, 2023</t>
        </is>
      </c>
    </row>
    <row r="2">
      <c r="A2" s="26" t="inlineStr">
        <is>
          <t>Denmark against the EU-27 average, as a share of ICT-related WEEE collected. Same publication, same definition, same year.</t>
        </is>
      </c>
    </row>
    <row r="3">
      <c r="E3" s="33" t="inlineStr">
        <is>
          <t>ICT waste recovery, Denmark against the EU-27</t>
        </is>
      </c>
    </row>
    <row r="4" ht="28" customHeight="1">
      <c r="A4" s="8" t="inlineStr">
        <is>
          <t>geography</t>
        </is>
      </c>
      <c r="B4" s="8" t="inlineStr">
        <is>
          <t>% recovered</t>
        </is>
      </c>
      <c r="C4" s="8" t="inlineStr">
        <is>
          <t>gap to EU-27</t>
        </is>
      </c>
      <c r="E4" s="26" t="inlineStr">
        <is>
          <t>The one indicator on which Denmark's digital economy ranks near the bottom of the Union rather than the top.</t>
        </is>
      </c>
    </row>
    <row r="5">
      <c r="A5" s="38" t="inlineStr">
        <is>
          <t>Denmark</t>
        </is>
      </c>
      <c r="B5" s="32">
        <f>IF(COUNTIFS('02_MASTER'!$B:$B,"DK.ENV.WEEE",'02_MASTER'!$E:$E,2023)=0,"",SUMIFS('02_MASTER'!$F:$F,'02_MASTER'!$B:$B,"DK.ENV.WEEE",'02_MASTER'!$E:$E,2023))</f>
        <v/>
      </c>
      <c r="C5" s="40">
        <f>IF(COUNTIFS('02_MASTER'!$B:$B,"DK.ENV.WEEE",'02_MASTER'!$E:$E,2023)=0,"",SUMIFS('02_MASTER'!$F:$F,'02_MASTER'!$B:$B,"DK.ENV.WEEE",'02_MASTER'!$E:$E,2023))-IF(COUNTIFS('02_MASTER'!$B:$B,"EU.ENV.WEEE",'02_MASTER'!$E:$E,2023)=0,"",SUMIFS('02_MASTER'!$F:$F,'02_MASTER'!$B:$B,"EU.ENV.WEEE",'02_MASTER'!$E:$E,2023))</f>
        <v/>
      </c>
    </row>
    <row r="6">
      <c r="A6" s="38" t="inlineStr">
        <is>
          <t>EU-27</t>
        </is>
      </c>
      <c r="B6" s="32">
        <f>IF(COUNTIFS('02_MASTER'!$B:$B,"EU.ENV.WEEE",'02_MASTER'!$E:$E,2023)=0,"",SUMIFS('02_MASTER'!$F:$F,'02_MASTER'!$B:$B,"EU.ENV.WEEE",'02_MASTER'!$E:$E,2023))</f>
        <v/>
      </c>
      <c r="C6" s="40">
        <f>IF(COUNTIFS('02_MASTER'!$B:$B,"EU.ENV.WEEE",'02_MASTER'!$E:$E,2023)=0,"",SUMIFS('02_MASTER'!$F:$F,'02_MASTER'!$B:$B,"EU.ENV.WEEE",'02_MASTER'!$E:$E,2023))-IF(COUNTIFS('02_MASTER'!$B:$B,"EU.ENV.WEEE",'02_MASTER'!$E:$E,2023)=0,"",SUMIFS('02_MASTER'!$F:$F,'02_MASTER'!$B:$B,"EU.ENV.WEEE",'02_MASTER'!$E:$E,2023))</f>
        <v/>
      </c>
    </row>
    <row r="9">
      <c r="A9" s="34" t="inlineStr">
        <is>
          <t>Source: European Commission, Digital Decade 2026 country report for Denmark (EC1). READING: Denmark recovers 15.37% of the ICT waste it collects against an EU-27 average of 80.23%, a gap of roughly 65 percentage points. DENOMINATOR: the base is ICT-related WEEE COLLECTED, not ICT equipment placed on the market, so this measures what happens to devices that reach the waste stream and says nothing about how many never do. The source publishes a single year, so no trend is available and none is claimed.</t>
        </is>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4" customWidth="1" min="1" max="1"/>
    <col width="12" customWidth="1" min="2" max="2"/>
    <col width="40" customWidth="1" min="3" max="3"/>
  </cols>
  <sheetData>
    <row r="1" ht="22" customHeight="1">
      <c r="A1" s="7" t="inlineStr">
        <is>
          <t>Figure 12 - Reach, and what reach does not measure</t>
        </is>
      </c>
    </row>
    <row r="2">
      <c r="A2" s="26" t="inlineStr">
        <is>
          <t>Panel A and Panel B are NOT comparable. Different sources, different reference years and different denominators. Read each against its own base; never difference them.</t>
        </is>
      </c>
    </row>
    <row r="4" ht="28" customHeight="1">
      <c r="A4" s="8" t="inlineStr">
        <is>
          <t>PANEL A - reach</t>
        </is>
      </c>
      <c r="B4" s="8" t="inlineStr">
        <is>
          <t>%</t>
        </is>
      </c>
      <c r="C4" s="8" t="inlineStr">
        <is>
          <t>base</t>
        </is>
      </c>
    </row>
    <row r="5">
      <c r="A5" s="38" t="inlineStr">
        <is>
          <t>Denmark</t>
        </is>
      </c>
      <c r="B5" s="32">
        <f>IF(COUNTIFS('02_MASTER'!$B:$B,"DK.DGX.EGOV.USE",'02_MASTER'!$E:$E,2024)=0,"",SUMIFS('02_MASTER'!$F:$F,'02_MASTER'!$B:$B,"DK.DGX.EGOV.USE",'02_MASTER'!$E:$E,2024))</f>
        <v/>
      </c>
      <c r="C5" s="29" t="inlineStr">
        <is>
          <t>individuals aged 16-74, 2024 (ES9)</t>
        </is>
      </c>
    </row>
    <row r="6">
      <c r="A6" s="38" t="inlineStr">
        <is>
          <t>EU-27 average</t>
        </is>
      </c>
      <c r="B6" s="32">
        <f>IF(COUNTIFS('02_MASTER'!$B:$B,"EU.DGX.EGOV.USE",'02_MASTER'!$E:$E,2024)=0,"",SUMIFS('02_MASTER'!$F:$F,'02_MASTER'!$B:$B,"EU.DGX.EGOV.USE",'02_MASTER'!$E:$E,2024))</f>
        <v/>
      </c>
      <c r="C6" s="29" t="inlineStr">
        <is>
          <t>individuals aged 16-74, 2024 (ES9)</t>
        </is>
      </c>
    </row>
    <row r="8" ht="28" customHeight="1">
      <c r="A8" s="8" t="inlineStr">
        <is>
          <t>PANEL B - what it does not measure</t>
        </is>
      </c>
      <c r="B8" s="8" t="inlineStr">
        <is>
          <t>%</t>
        </is>
      </c>
      <c r="C8" s="8" t="inlineStr">
        <is>
          <t>base</t>
        </is>
      </c>
    </row>
    <row r="9">
      <c r="A9" s="38" t="inlineStr">
        <is>
          <t>Report difficulty using them</t>
        </is>
      </c>
      <c r="B9" s="32">
        <f>IF(COUNTIFS('02_MASTER'!$B:$B,"DK.DGX.DIFF",'02_MASTER'!$E:$E,2026)=0,"",SUMIFS('02_MASTER'!$F:$F,'02_MASTER'!$B:$B,"DK.DGX.DIFF",'02_MASTER'!$E:$E,2026))</f>
        <v/>
      </c>
      <c r="C9" s="29" t="inlineStr">
        <is>
          <t>individuals, 2026 (EC1)</t>
        </is>
      </c>
    </row>
    <row r="10">
      <c r="A10" s="38" t="inlineStr">
        <is>
          <t>Do not use them at all</t>
        </is>
      </c>
      <c r="B10" s="32">
        <f>IF(COUNTIFS('02_MASTER'!$B:$B,"DK.DGX.NOUSE",'02_MASTER'!$E:$E,2026)=0,"",SUMIFS('02_MASTER'!$F:$F,'02_MASTER'!$B:$B,"DK.DGX.NOUSE",'02_MASTER'!$E:$E,2026))</f>
        <v/>
      </c>
      <c r="C10" s="29" t="inlineStr">
        <is>
          <t>individuals, 2026 (EC1)</t>
        </is>
      </c>
    </row>
    <row r="11">
      <c r="A11" s="38" t="inlineStr">
        <is>
          <t>Formally exempt from Digital Post</t>
        </is>
      </c>
      <c r="B11" s="32">
        <f>IF(COUNTIFS('02_MASTER'!$B:$B,"DK.DGP.EXMP",'02_MASTER'!$E:$E,2026)=0,"",SUMIFS('02_MASTER'!$F:$F,'02_MASTER'!$B:$B,"DK.DGP.EXMP",'02_MASTER'!$E:$E,2026))</f>
        <v/>
      </c>
      <c r="C11" s="29" t="inlineStr">
        <is>
          <t>citizens aged 15 and over, Q1 2026 (DG1)</t>
        </is>
      </c>
    </row>
    <row r="13">
      <c r="A13" s="34" t="inlineStr">
        <is>
          <t>Sources: Eurostat isoc_ciegi_ac (ES9); European Commission, Digital Decade 2026 country report for Denmark (EC1); Digitaliseringsstyrelsen (DG1). READING: 98.5% of Danish individuals aged 16 to 74 used a public authority website or app at least once during 2024, the highest share in the EU-27 against an average of 70.0%. DENOMINATOR WARNING: the survey records whether a person interacted AT ALL, ONCE, in twelve months. It measures reach, not frequency, competence or independent use, and Panel B is drawn on other bases entirely. The two panels are shown together because the contrast is the argument; they are never differenced.</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DG5</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DG5</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DG5</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s4040040</dc:creator>
  <dc:title xmlns:dc="http://purl.org/dc/elements/1.1/">Denmark: Digital Adoption and Policy Outcomes</dc:title>
  <dc:description xmlns:dc="http://purl.org/dc/elements/1.1/">Statistical annex, v1.0, built 2026-09-14. 136 verified observations.</dc:description>
  <dc:subject xmlns:dc="http://purl.org/dc/elements/1.1/">ECON1596/ECON1597 Digital Economy and Policy</dc:subject>
  <dcterms:created xmlns:dcterms="http://purl.org/dc/terms/" xmlns:xsi="http://www.w3.org/2001/XMLSchema-instance" xsi:type="dcterms:W3CDTF">2026-09-14T17:11:40Z</dcterms:created>
  <dcterms:modified xmlns:dcterms="http://purl.org/dc/terms/" xmlns:xsi="http://www.w3.org/2001/XMLSchema-instance" xsi:type="dcterms:W3CDTF">2026-09-14T17:11:41Z</dcterms:modified>
</cp:coreProperties>
</file>