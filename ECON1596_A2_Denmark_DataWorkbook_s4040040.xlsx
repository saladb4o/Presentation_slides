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README" sheetId="2" state="visible" r:id="rId2"/>
    <sheet name="02_MASTER" sheetId="3" state="visible" r:id="rId3"/>
    <sheet name="03_SOURCES" sheetId="4" state="visible" r:id="rId4"/>
    <sheet name="04_DEFINITIONS" sheetId="5" state="visible" r:id="rId5"/>
    <sheet name="05_CALC" sheetId="6" state="visible" r:id="rId6"/>
    <sheet name="F1_BRANCHES" sheetId="7" state="visible" r:id="rId7"/>
    <sheet name="F2_PAYMENTS" sheetId="8" state="visible" r:id="rId8"/>
    <sheet name="F3_ESALES" sheetId="9" state="visible" r:id="rId9"/>
    <sheet name="F4_EXCLUSION" sheetId="10" state="visible" r:id="rId10"/>
    <sheet name="F5_EU8" sheetId="11" state="visible" r:id="rId11"/>
    <sheet name="F6_ADOPT_BENEFIT" sheetId="12" state="visible" r:id="rId12"/>
    <sheet name="06_RETAIL_GAP" sheetId="13" state="visible" r:id="rId13"/>
    <sheet name="07_LIMITATIONS" sheetId="14" state="visible" r:id="rId14"/>
    <sheet name="08_AI_LOG" sheetId="15" state="visible" r:id="rId15"/>
  </sheets>
  <definedNames>
    <definedName name="_xlnm._FilterDatabase" localSheetId="2" hidden="1">'02_MASTER'!$A$1:$L$88</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00;-0.00"/>
  </numFmts>
  <fonts count="9">
    <font>
      <name val="Calibri"/>
      <family val="2"/>
      <color theme="1"/>
      <sz val="11"/>
      <scheme val="minor"/>
    </font>
    <font>
      <name val="Calibri"/>
      <b val="1"/>
      <color rgb="FF1F3A5F"/>
      <sz val="18"/>
    </font>
    <font>
      <name val="Calibri"/>
      <color rgb="FF5A5A5A"/>
      <sz val="11"/>
    </font>
    <font>
      <name val="Calibri"/>
      <b val="1"/>
      <color rgb="FF1F3A5F"/>
      <sz val="11"/>
    </font>
    <font>
      <name val="Calibri"/>
      <color rgb="FF1A1A1A"/>
      <sz val="10"/>
    </font>
    <font>
      <name val="Consolas"/>
      <color rgb="FF1A1A1A"/>
      <sz val="9"/>
    </font>
    <font>
      <name val="Calibri"/>
      <b val="1"/>
      <color rgb="FF1F3A5F"/>
      <sz val="16"/>
    </font>
    <font>
      <name val="Calibri"/>
      <b val="1"/>
      <color rgb="FFFFFFFF"/>
      <sz val="10"/>
    </font>
    <font>
      <name val="Calibri"/>
      <color rgb="FF5A5A5A"/>
      <sz val="9"/>
    </font>
  </fonts>
  <fills count="7">
    <fill>
      <patternFill/>
    </fill>
    <fill>
      <patternFill patternType="gray125"/>
    </fill>
    <fill>
      <patternFill patternType="solid">
        <fgColor rgb="FF1F3A5F"/>
      </patternFill>
    </fill>
    <fill>
      <patternFill patternType="solid">
        <fgColor rgb="FFF2F2F2"/>
      </patternFill>
    </fill>
    <fill>
      <patternFill patternType="solid">
        <fgColor rgb="FFE8F0F6"/>
      </patternFill>
    </fill>
    <fill>
      <patternFill patternType="solid">
        <fgColor rgb="FFFDF2E0"/>
      </patternFill>
    </fill>
    <fill>
      <patternFill patternType="solid">
        <fgColor rgb="FFF7E4E4"/>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4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2" borderId="1" applyAlignment="1" pivotButton="0" quotePrefix="0" xfId="0">
      <alignment vertical="center" wrapText="1"/>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3" borderId="1" applyAlignment="1" pivotButton="0" quotePrefix="0" xfId="0">
      <alignment vertical="top"/>
    </xf>
    <xf numFmtId="0" fontId="5" fillId="3" borderId="1" applyAlignment="1" pivotButton="0" quotePrefix="0" xfId="0">
      <alignment vertical="top"/>
    </xf>
    <xf numFmtId="0" fontId="4" fillId="3" borderId="1" applyAlignment="1" pivotButton="0" quotePrefix="0" xfId="0">
      <alignment vertical="top" wrapText="1"/>
    </xf>
    <xf numFmtId="2" fontId="4" fillId="3" borderId="1" applyAlignment="1" pivotButton="0" quotePrefix="0" xfId="0">
      <alignment vertical="top"/>
    </xf>
    <xf numFmtId="3" fontId="4" fillId="3" borderId="1" applyAlignment="1" pivotButton="0" quotePrefix="0" xfId="0">
      <alignment vertical="top"/>
    </xf>
    <xf numFmtId="0" fontId="4" fillId="5" borderId="1" applyAlignment="1" pivotButton="0" quotePrefix="0" xfId="0">
      <alignment vertical="top"/>
    </xf>
    <xf numFmtId="0" fontId="5" fillId="5" borderId="1" applyAlignment="1" pivotButton="0" quotePrefix="0" xfId="0">
      <alignment vertical="top"/>
    </xf>
    <xf numFmtId="0" fontId="4" fillId="5" borderId="1" applyAlignment="1" pivotButton="0" quotePrefix="0" xfId="0">
      <alignment vertical="top" wrapText="1"/>
    </xf>
    <xf numFmtId="3" fontId="4" fillId="5" borderId="1" applyAlignment="1" pivotButton="0" quotePrefix="0" xfId="0">
      <alignment vertical="top"/>
    </xf>
    <xf numFmtId="2" fontId="4" fillId="5" borderId="1" applyAlignment="1" pivotButton="0" quotePrefix="0" xfId="0">
      <alignment vertical="top"/>
    </xf>
    <xf numFmtId="0" fontId="5" fillId="3" borderId="1" applyAlignment="1" pivotButton="0" quotePrefix="0" xfId="0">
      <alignment vertical="top" wrapText="1"/>
    </xf>
    <xf numFmtId="0" fontId="5" fillId="3" borderId="1" pivotButton="0" quotePrefix="0" xfId="0"/>
    <xf numFmtId="0" fontId="8" fillId="0" borderId="0" pivotButton="0" quotePrefix="0" xfId="0"/>
    <xf numFmtId="0" fontId="4" fillId="0" borderId="1" pivotButton="0" quotePrefix="0" xfId="0"/>
    <xf numFmtId="3" fontId="4" fillId="4" borderId="1" pivotButton="0" quotePrefix="0" xfId="0"/>
    <xf numFmtId="0" fontId="8" fillId="0" borderId="1" pivotButton="0" quotePrefix="0" xfId="0"/>
    <xf numFmtId="0" fontId="8" fillId="0" borderId="1" applyAlignment="1" pivotButton="0" quotePrefix="0" xfId="0">
      <alignment vertical="top" wrapText="1"/>
    </xf>
    <xf numFmtId="164" fontId="4" fillId="4" borderId="1" pivotButton="0" quotePrefix="0" xfId="0"/>
    <xf numFmtId="2" fontId="4" fillId="4" borderId="1" pivotButton="0" quotePrefix="0" xfId="0"/>
    <xf numFmtId="0" fontId="8" fillId="0" borderId="0" applyAlignment="1" pivotButton="0" quotePrefix="0" xfId="0">
      <alignment vertical="top" wrapText="1"/>
    </xf>
    <xf numFmtId="165" fontId="4" fillId="4" borderId="1" pivotButton="0" quotePrefix="0" xfId="0"/>
    <xf numFmtId="165" fontId="4" fillId="5" borderId="1" pivotButton="0" quotePrefix="0" xfId="0"/>
    <xf numFmtId="2" fontId="0" fillId="4" borderId="1" pivotButton="0" quotePrefix="0" xfId="0"/>
    <xf numFmtId="0" fontId="5" fillId="0" borderId="1" pivotButton="0" quotePrefix="0" xfId="0"/>
    <xf numFmtId="1" fontId="4" fillId="4" borderId="1" pivotButton="0" quotePrefix="0" xfId="0"/>
    <xf numFmtId="166" fontId="4" fillId="4" borderId="1" pivotButton="0" quotePrefix="0" xfId="0"/>
    <xf numFmtId="167" fontId="4" fillId="4" borderId="1" pivotButton="0" quotePrefix="0" xfId="0"/>
    <xf numFmtId="0" fontId="8" fillId="6" borderId="1" pivotButton="0" quotePrefix="0" xfId="0"/>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harts/chart1.xml><?xml version="1.0" encoding="utf-8"?>
<chartSpace xmlns:a="http://schemas.openxmlformats.org/drawingml/2006/main" xmlns="http://schemas.openxmlformats.org/drawingml/2006/chart">
  <style val="2"/>
  <chart>
    <title>
      <tx>
        <rich>
          <a:bodyPr/>
          <a:p>
            <a:pPr>
              <a:defRPr/>
            </a:pPr>
            <a:r>
              <a:t>Bank branches in Denmark, 2004-2024</a:t>
            </a:r>
          </a:p>
        </rich>
      </tx>
    </title>
    <plotArea>
      <scatterChart>
        <ser>
          <idx val="0"/>
          <order val="0"/>
          <tx>
            <strRef>
              <f>'F1_BRANCHES'!B4</f>
            </strRef>
          </tx>
          <spPr>
            <a:ln w="22000">
              <a:prstDash val="solid"/>
            </a:ln>
          </spPr>
          <marker>
            <symbol val="circle"/>
            <size val="7"/>
            <spPr>
              <a:ln>
                <a:prstDash val="solid"/>
              </a:ln>
            </spPr>
          </marker>
          <xVal>
            <numRef>
              <f>'F1_BRANCHES'!$A$5:$A$10</f>
            </numRef>
          </xVal>
          <yVal>
            <numRef>
              <f>'F1_BRANCHES'!$B$5:$B$10</f>
            </numRef>
          </yVal>
        </ser>
        <axId val="10"/>
        <axId val="20"/>
      </scatterChart>
      <valAx>
        <axId val="10"/>
        <scaling>
          <orientation val="minMax"/>
          <max val="2026"/>
          <min val="2002"/>
        </scaling>
        <axPos val="l"/>
        <majorGridlines/>
        <title>
          <tx>
            <rich>
              <a:bodyPr/>
              <a:p>
                <a:pPr>
                  <a:defRPr/>
                </a:pPr>
                <a:r>
                  <a:t>Year</a:t>
                </a:r>
              </a:p>
            </rich>
          </tx>
        </title>
        <majorTickMark val="none"/>
        <minorTickMark val="none"/>
        <crossAx val="20"/>
      </valAx>
      <valAx>
        <axId val="20"/>
        <scaling>
          <orientation val="minMax"/>
          <min val="0"/>
        </scaling>
        <axPos val="l"/>
        <majorGridlines/>
        <title>
          <tx>
            <rich>
              <a:bodyPr/>
              <a:p>
                <a:pPr>
                  <a:defRPr/>
                </a:pPr>
                <a:r>
                  <a:t>Number of branches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Cash share of in-store payments, 2017-2025</a:t>
            </a:r>
          </a:p>
        </rich>
      </tx>
    </title>
    <plotArea>
      <scatterChart>
        <ser>
          <idx val="0"/>
          <order val="0"/>
          <tx>
            <strRef>
              <f>'F2_PAYMENTS'!B5</f>
            </strRef>
          </tx>
          <spPr>
            <a:ln w="22000">
              <a:prstDash val="solid"/>
            </a:ln>
          </spPr>
          <marker>
            <symbol val="circle"/>
            <size val="7"/>
            <spPr>
              <a:ln>
                <a:prstDash val="solid"/>
              </a:ln>
            </spPr>
          </marker>
          <xVal>
            <numRef>
              <f>'F2_PAYMENTS'!$A$6:$A$8</f>
            </numRef>
          </xVal>
          <yVal>
            <numRef>
              <f>'F2_PAYMENTS'!$B$6:$B$8</f>
            </numRef>
          </yVal>
        </ser>
        <axId val="10"/>
        <axId val="20"/>
      </scatterChart>
      <valAx>
        <axId val="10"/>
        <scaling>
          <orientation val="minMax"/>
          <max val="2026"/>
          <min val="2016"/>
        </scaling>
        <axPos val="l"/>
        <majorGridlines/>
        <title>
          <tx>
            <rich>
              <a:bodyPr/>
              <a:p>
                <a:pPr>
                  <a:defRPr/>
                </a:pPr>
                <a:r>
                  <a:t>Year</a:t>
                </a:r>
              </a:p>
            </rich>
          </tx>
        </title>
        <majorTickMark val="none"/>
        <minorTickMark val="none"/>
        <crossAx val="20"/>
      </valAx>
      <valAx>
        <axId val="20"/>
        <scaling>
          <orientation val="minMax"/>
          <max val="25"/>
          <min val="0"/>
        </scaling>
        <axPos val="l"/>
        <majorGridlines/>
        <title>
          <tx>
            <rich>
              <a:bodyPr/>
              <a:p>
                <a:pPr>
                  <a:defRPr/>
                </a:pPr>
                <a:r>
                  <a:t>% of number of payments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Composition of in-store payments, 2025</a:t>
            </a:r>
          </a:p>
        </rich>
      </tx>
    </title>
    <plotArea>
      <barChart>
        <barDir val="bar"/>
        <grouping val="clustered"/>
        <ser>
          <idx val="0"/>
          <order val="0"/>
          <tx>
            <strRef>
              <f>'F2_PAYMENTS'!B11</f>
            </strRef>
          </tx>
          <spPr>
            <a:ln>
              <a:prstDash val="solid"/>
            </a:ln>
          </spPr>
          <cat>
            <numRef>
              <f>'F2_PAYMENTS'!$A$12:$A$14</f>
            </numRef>
          </cat>
          <val>
            <numRef>
              <f>'F2_PAYMENTS'!$B$12:$B$14</f>
            </numRef>
          </val>
        </ser>
        <gapWidth val="150"/>
        <axId val="10"/>
        <axId val="100"/>
      </barChart>
      <catAx>
        <axId val="10"/>
        <scaling>
          <orientation val="minMax"/>
        </scaling>
        <axPos val="l"/>
        <title>
          <tx>
            <rich>
              <a:bodyPr/>
              <a:p>
                <a:pPr>
                  <a:defRPr/>
                </a:pPr>
                <a:r>
                  <a:t>% of number of payments</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E-sales as % of enterprise turnover</a:t>
            </a:r>
          </a:p>
        </rich>
      </tx>
    </title>
    <plotArea>
      <barChart>
        <barDir val="col"/>
        <grouping val="clustered"/>
        <ser>
          <idx val="0"/>
          <order val="0"/>
          <tx>
            <strRef>
              <f>'F3_ESALES'!B4</f>
            </strRef>
          </tx>
          <spPr>
            <a:ln>
              <a:prstDash val="solid"/>
            </a:ln>
          </spPr>
          <cat>
            <numRef>
              <f>'F3_ESALES'!$A$5:$A$6</f>
            </numRef>
          </cat>
          <val>
            <numRef>
              <f>'F3_ESALES'!$B$5:$B$6</f>
            </numRef>
          </val>
        </ser>
        <ser>
          <idx val="1"/>
          <order val="1"/>
          <tx>
            <strRef>
              <f>'F3_ESALES'!C4</f>
            </strRef>
          </tx>
          <spPr>
            <a:ln>
              <a:prstDash val="solid"/>
            </a:ln>
          </spPr>
          <cat>
            <numRef>
              <f>'F3_ESALES'!$A$5:$A$6</f>
            </numRef>
          </cat>
          <val>
            <numRef>
              <f>'F3_ESALES'!$C$5:$C$6</f>
            </numRef>
          </val>
        </ser>
        <gapWidth val="150"/>
        <axId val="10"/>
        <axId val="100"/>
      </barChart>
      <catAx>
        <axId val="10"/>
        <scaling>
          <orientation val="minMax"/>
        </scaling>
        <axPos val="l"/>
        <title>
          <tx>
            <rich>
              <a:bodyPr/>
              <a:p>
                <a:pPr>
                  <a:defRPr/>
                </a:pPr>
                <a:r>
                  <a:t>Year</a:t>
                </a:r>
              </a:p>
            </rich>
          </tx>
        </title>
        <majorTickMark val="none"/>
        <minorTickMark val="none"/>
        <crossAx val="100"/>
        <lblOffset val="100"/>
      </catAx>
      <valAx>
        <axId val="100"/>
        <scaling>
          <orientation val="minMax"/>
        </scaling>
        <axPos val="l"/>
        <majorGridlines/>
        <title>
          <tx>
            <rich>
              <a:bodyPr/>
              <a:p>
                <a:pPr>
                  <a:defRPr/>
                </a:pPr>
                <a:r>
                  <a:t>% of turnover</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Measures of digital exclusion, Denmark</a:t>
            </a:r>
          </a:p>
        </rich>
      </tx>
    </title>
    <plotArea>
      <barChart>
        <barDir val="bar"/>
        <grouping val="clustered"/>
        <ser>
          <idx val="0"/>
          <order val="0"/>
          <tx>
            <strRef>
              <f>'F4_EXCLUSION'!B4</f>
            </strRef>
          </tx>
          <spPr>
            <a:ln>
              <a:prstDash val="solid"/>
            </a:ln>
          </spPr>
          <cat>
            <numRef>
              <f>'F4_EXCLUSION'!$A$5:$A$10</f>
            </numRef>
          </cat>
          <val>
            <numRef>
              <f>'F4_EXCLUSION'!$B$5:$B$10</f>
            </numRef>
          </val>
        </ser>
        <gapWidth val="150"/>
        <axId val="10"/>
        <axId val="100"/>
      </barChart>
      <catAx>
        <axId val="10"/>
        <scaling>
          <orientation val="minMax"/>
        </scaling>
        <axPos val="l"/>
        <title>
          <tx>
            <rich>
              <a:bodyPr/>
              <a:p>
                <a:pPr>
                  <a:defRPr/>
                </a:pPr>
                <a:r>
                  <a:t>% of population</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Individuals who bought online in last 12 months, 2024</a:t>
            </a:r>
          </a:p>
        </rich>
      </tx>
    </title>
    <plotArea>
      <barChart>
        <barDir val="bar"/>
        <grouping val="clustered"/>
        <ser>
          <idx val="0"/>
          <order val="0"/>
          <tx>
            <strRef>
              <f>'F5_EU8'!B4</f>
            </strRef>
          </tx>
          <spPr>
            <a:ln>
              <a:prstDash val="solid"/>
            </a:ln>
          </spPr>
          <cat>
            <numRef>
              <f>'F5_EU8'!$A$5:$A$12</f>
            </numRef>
          </cat>
          <val>
            <numRef>
              <f>'F5_EU8'!$B$5:$B$12</f>
            </numRef>
          </val>
        </ser>
        <gapWidth val="150"/>
        <axId val="10"/>
        <axId val="100"/>
      </barChart>
      <catAx>
        <axId val="10"/>
        <scaling>
          <orientation val="minMax"/>
        </scaling>
        <axPos val="l"/>
        <title>
          <tx>
            <rich>
              <a:bodyPr/>
              <a:p>
                <a:pPr>
                  <a:defRPr/>
                </a:pPr>
                <a:r>
                  <a:t>% of internet users</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Digital adoption and e-commerce turnover, EU 2024</a:t>
            </a:r>
          </a:p>
        </rich>
      </tx>
    </title>
    <plotArea>
      <scatterChart>
        <ser>
          <idx val="0"/>
          <order val="0"/>
          <tx>
            <strRef>
              <f>'F6_ADOPT_BENEFIT'!D4</f>
            </strRef>
          </tx>
          <spPr>
            <a:ln>
              <a:noFill/>
              <a:prstDash val="solid"/>
            </a:ln>
          </spPr>
          <marker>
            <symbol val="circle"/>
            <size val="9"/>
            <spPr>
              <a:ln>
                <a:prstDash val="solid"/>
              </a:ln>
            </spPr>
          </marker>
          <trendline>
            <trendlineType val="linear"/>
            <dispRSqr val="1"/>
            <dispEq val="1"/>
          </trendline>
          <xVal>
            <numRef>
              <f>'F6_ADOPT_BENEFIT'!$C$5:$C$10</f>
            </numRef>
          </xVal>
          <yVal>
            <numRef>
              <f>'F6_ADOPT_BENEFIT'!$D$5:$D$10</f>
            </numRef>
          </yVal>
        </ser>
        <axId val="10"/>
        <axId val="20"/>
      </scatterChart>
      <valAx>
        <axId val="10"/>
        <scaling>
          <orientation val="minMax"/>
          <max val="100"/>
          <min val="50"/>
        </scaling>
        <axPos val="l"/>
        <majorGridlines/>
        <title>
          <tx>
            <rich>
              <a:bodyPr/>
              <a:p>
                <a:pPr>
                  <a:defRPr/>
                </a:pPr>
                <a:r>
                  <a:t>Individuals who bought online (% of internet users)</a:t>
                </a:r>
              </a:p>
            </rich>
          </tx>
        </title>
        <majorTickMark val="none"/>
        <minorTickMark val="none"/>
        <crossAx val="20"/>
      </valAx>
      <valAx>
        <axId val="20"/>
        <scaling>
          <orientation val="minMax"/>
          <min val="0"/>
        </scaling>
        <axPos val="l"/>
        <majorGridlines/>
        <title>
          <tx>
            <rich>
              <a:bodyPr/>
              <a:p>
                <a:pPr>
                  <a:defRPr/>
                </a:pPr>
                <a:r>
                  <a:t>E-sales as % of enterprise turnover</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10</row>
      <rowOff>0</rowOff>
    </from>
    <ext cx="540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2.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outlinePr summaryBelow="1" summaryRight="1"/>
    <pageSetUpPr/>
  </sheetPr>
  <dimension ref="A1:B32"/>
  <sheetViews>
    <sheetView showGridLines="0" workbookViewId="0">
      <selection activeCell="A1" sqref="A1"/>
    </sheetView>
  </sheetViews>
  <sheetFormatPr baseColWidth="8" defaultRowHeight="15"/>
  <cols>
    <col width="26" customWidth="1" min="1" max="1"/>
    <col width="78" customWidth="1" min="2" max="2"/>
  </cols>
  <sheetData>
    <row r="1">
      <c r="A1" s="1" t="inlineStr">
        <is>
          <t>Denmark: Digital Adoption and Policy Outcomes</t>
        </is>
      </c>
    </row>
    <row r="2">
      <c r="A2" s="2" t="inlineStr">
        <is>
          <t>Statistical annex to Assessment 2 - Digital Policy and Innovation Report</t>
        </is>
      </c>
    </row>
    <row r="4">
      <c r="A4" s="3" t="inlineStr">
        <is>
          <t>Student ID</t>
        </is>
      </c>
      <c r="B4" s="4" t="inlineStr">
        <is>
          <t>s4040040</t>
        </is>
      </c>
    </row>
    <row r="5">
      <c r="A5" s="3" t="inlineStr">
        <is>
          <t>Course</t>
        </is>
      </c>
      <c r="B5" s="4" t="inlineStr">
        <is>
          <t>ECON1596/ECON1597 Digital Economy and Policy</t>
        </is>
      </c>
    </row>
    <row r="6">
      <c r="A6" s="3" t="inlineStr">
        <is>
          <t>Assessment</t>
        </is>
      </c>
      <c r="B6" s="4" t="inlineStr">
        <is>
          <t>Assessment 2 - Digital Policy and Innovation Report</t>
        </is>
      </c>
    </row>
    <row r="7">
      <c r="A7" s="3" t="inlineStr">
        <is>
          <t>Country</t>
        </is>
      </c>
      <c r="B7" s="4" t="inlineStr">
        <is>
          <t>Denmark (assigned by final digit of student ID: 0)</t>
        </is>
      </c>
    </row>
    <row r="8">
      <c r="A8" s="3" t="inlineStr">
        <is>
          <t>Workbook version</t>
        </is>
      </c>
      <c r="B8" s="4" t="inlineStr">
        <is>
          <t>1.0</t>
        </is>
      </c>
    </row>
    <row r="9">
      <c r="A9" s="3" t="inlineStr">
        <is>
          <t>Built</t>
        </is>
      </c>
      <c r="B9" s="4" t="inlineStr">
        <is>
          <t>2026-09-12</t>
        </is>
      </c>
    </row>
    <row r="10">
      <c r="A10" s="3" t="inlineStr">
        <is>
          <t>Observations</t>
        </is>
      </c>
      <c r="B10" s="4" t="inlineStr">
        <is>
          <t>87</t>
        </is>
      </c>
    </row>
    <row r="11">
      <c r="A11" s="3" t="inlineStr">
        <is>
          <t>Coverage</t>
        </is>
      </c>
      <c r="B11" s="4" t="inlineStr">
        <is>
          <t>1991-2026, unbalanced; see 07_LIMITATIONS</t>
        </is>
      </c>
    </row>
    <row r="12">
      <c r="A12" s="3" t="inlineStr"/>
      <c r="B12" s="4" t="inlineStr"/>
    </row>
    <row r="13" ht="42" customHeight="1">
      <c r="A13" s="3" t="inlineStr">
        <is>
          <t>Suggested citation</t>
        </is>
      </c>
      <c r="B13" s="4" t="inlineStr">
        <is>
          <t>Denmark: Digital Adoption and Policy Outcomes [data workbook], v1.0, 2026-09-12. Compiled from the sources listed in 03_SOURCES.</t>
        </is>
      </c>
    </row>
    <row r="14">
      <c r="A14" s="3" t="inlineStr"/>
      <c r="B14" s="4" t="inlineStr"/>
    </row>
    <row r="15" ht="42" customHeight="1">
      <c r="A15" s="3" t="inlineStr">
        <is>
          <t>Provenance rule</t>
        </is>
      </c>
      <c r="B15" s="4" t="inlineStr">
        <is>
          <t>Every value in this workbook was verified against the issuing authority named in its source_id. No value is interpolated, smoothed, or inferred from a neighbouring year. Gaps are left as gaps.</t>
        </is>
      </c>
    </row>
    <row r="16" ht="42" customHeight="1">
      <c r="A16" s="3" t="inlineStr">
        <is>
          <t>Structure rule</t>
        </is>
      </c>
      <c r="B16" s="4" t="inlineStr">
        <is>
          <t>02_MASTER is the single source of truth. Every figure sheet and every derived quantity is a formula view of it, not a pasted copy.</t>
        </is>
      </c>
    </row>
    <row r="18">
      <c r="A18" s="3" t="inlineStr">
        <is>
          <t>CONTENTS</t>
        </is>
      </c>
    </row>
    <row r="19">
      <c r="A19" s="5" t="inlineStr">
        <is>
          <t>01_README</t>
        </is>
      </c>
      <c r="B19" s="6" t="inlineStr">
        <is>
          <t>Conventions, flag legend, how to trace any value</t>
        </is>
      </c>
    </row>
    <row r="20">
      <c r="A20" s="5" t="inlineStr">
        <is>
          <t>02_MASTER</t>
        </is>
      </c>
      <c r="B20" s="6" t="inlineStr">
        <is>
          <t>Every observation, one row each</t>
        </is>
      </c>
    </row>
    <row r="21">
      <c r="A21" s="5" t="inlineStr">
        <is>
          <t>03_SOURCES</t>
        </is>
      </c>
      <c r="B21" s="6" t="inlineStr">
        <is>
          <t>Source register with URLs, access dates, Harvard references</t>
        </is>
      </c>
    </row>
    <row r="22">
      <c r="A22" s="5" t="inlineStr">
        <is>
          <t>04_DEFINITIONS</t>
        </is>
      </c>
      <c r="B22" s="6" t="inlineStr">
        <is>
          <t>What each indicator measures, and what it excludes</t>
        </is>
      </c>
    </row>
    <row r="23">
      <c r="A23" s="5" t="inlineStr">
        <is>
          <t>05_CALC</t>
        </is>
      </c>
      <c r="B23" s="6" t="inlineStr">
        <is>
          <t>Derived quantities, as live formulas</t>
        </is>
      </c>
    </row>
    <row r="24">
      <c r="A24" s="5" t="inlineStr">
        <is>
          <t>F1_BRANCHES</t>
        </is>
      </c>
      <c r="B24" s="6" t="inlineStr">
        <is>
          <t>Figure 1 - bank branch network, 2004-2024</t>
        </is>
      </c>
    </row>
    <row r="25">
      <c r="A25" s="5" t="inlineStr">
        <is>
          <t>F2_PAYMENTS</t>
        </is>
      </c>
      <c r="B25" s="6" t="inlineStr">
        <is>
          <t>Figure 2 - payment instrument shares, 2017-2025</t>
        </is>
      </c>
    </row>
    <row r="26">
      <c r="A26" s="5" t="inlineStr">
        <is>
          <t>F3_ESALES</t>
        </is>
      </c>
      <c r="B26" s="6" t="inlineStr">
        <is>
          <t>Figure 3 - e-sales share of turnover, DK vs EU</t>
        </is>
      </c>
    </row>
    <row r="27">
      <c r="A27" s="5" t="inlineStr">
        <is>
          <t>F4_EXCLUSION</t>
        </is>
      </c>
      <c r="B27" s="6" t="inlineStr">
        <is>
          <t>Figure 4 - measures of digital exclusion</t>
        </is>
      </c>
    </row>
    <row r="28">
      <c r="A28" s="5" t="inlineStr">
        <is>
          <t>F5_EU8</t>
        </is>
      </c>
      <c r="B28" s="6" t="inlineStr">
        <is>
          <t>Figure 5 - online purchasing, verified EU countries, 2024</t>
        </is>
      </c>
    </row>
    <row r="29">
      <c r="A29" s="5" t="inlineStr">
        <is>
          <t>F6_ADOPT_BENEFIT</t>
        </is>
      </c>
      <c r="B29" s="6" t="inlineStr">
        <is>
          <t>Figure 6 - adoption vs economic effect, EU 2024</t>
        </is>
      </c>
    </row>
    <row r="30">
      <c r="A30" s="5" t="inlineStr">
        <is>
          <t>06_RETAIL_GAP</t>
        </is>
      </c>
      <c r="B30" s="6" t="inlineStr">
        <is>
          <t>Documented gap - retail volume index not retrieved</t>
        </is>
      </c>
    </row>
    <row r="31">
      <c r="A31" s="5" t="inlineStr">
        <is>
          <t>07_LIMITATIONS</t>
        </is>
      </c>
      <c r="B31" s="6" t="inlineStr">
        <is>
          <t>Data quality statement - read before citing</t>
        </is>
      </c>
    </row>
    <row r="32">
      <c r="A32" s="5" t="inlineStr">
        <is>
          <t>08_AI_LOG</t>
        </is>
      </c>
      <c r="B32" s="6" t="inlineStr">
        <is>
          <t>AI use and validation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2" customWidth="1" min="1" max="1"/>
    <col width="96" customWidth="1" min="2" max="2"/>
  </cols>
  <sheetData>
    <row r="1" ht="22" customHeight="1">
      <c r="A1" s="7" t="inlineStr">
        <is>
          <t>How to read this workbook</t>
        </is>
      </c>
    </row>
    <row r="4" ht="58" customHeight="1">
      <c r="A4" s="3" t="inlineStr">
        <is>
          <t>PURPOSE</t>
        </is>
      </c>
      <c r="B4" s="4" t="inlineStr">
        <is>
          <t>This workbook is the raw-data attachment to a 2,000-word policy report on Denmark's digital transformation. It is designed so that any number appearing in the report can be traced to an issuing authority, a denominator and an access date without consulting the author.</t>
        </is>
      </c>
    </row>
    <row r="5" ht="58" customHeight="1">
      <c r="A5" s="3" t="inlineStr">
        <is>
          <t>TRACING A VALUE</t>
        </is>
      </c>
      <c r="B5" s="4" t="inlineStr">
        <is>
          <t>1. Find the value on a figure sheet.  2. Read its series_code.  3. Filter 02_MASTER by that series_code to find the observation row.  4. Take its source_id to 03_SOURCES for the authority, URL and access date.  5. Check 04_DEFINITIONS for what the indicator does and does not cover.</t>
        </is>
      </c>
    </row>
    <row r="6" ht="58" customHeight="1">
      <c r="A6" s="3" t="inlineStr">
        <is>
          <t>SINGLE SOURCE OF TRUTH</t>
        </is>
      </c>
      <c r="B6" s="4" t="inlineStr">
        <is>
          <t>02_MASTER holds every observation. Figure sheets contain no typed numbers - each cell is a COUNTIFS/SUMIFS lookup against 02_MASTER. Correcting a value in 02_MASTER updates every sheet and chart that uses it.</t>
        </is>
      </c>
    </row>
    <row r="7" ht="58" customHeight="1">
      <c r="A7" s="3" t="inlineStr">
        <is>
          <t>DENOMINATORS</t>
        </is>
      </c>
      <c r="B7" s="4" t="inlineStr">
        <is>
          <t>The denominator column in 02_MASTER is load-bearing, not decorative. Eurostat's Danish online-purchasing figures change base between 2019 (% of individuals) and 2020 onward (% of internet users). Series with different denominators are never plotted on one axis.</t>
        </is>
      </c>
    </row>
    <row r="9">
      <c r="A9" s="3" t="inlineStr">
        <is>
          <t>FLAG LEGEND</t>
        </is>
      </c>
    </row>
    <row r="10" ht="28" customHeight="1">
      <c r="A10" s="8" t="inlineStr">
        <is>
          <t>Flag</t>
        </is>
      </c>
      <c r="B10" s="8" t="inlineStr">
        <is>
          <t>Meaning</t>
        </is>
      </c>
    </row>
    <row r="11">
      <c r="A11" s="5" t="inlineStr">
        <is>
          <t>b</t>
        </is>
      </c>
      <c r="B11" s="6" t="inlineStr">
        <is>
          <t>Break in series - definition or denominator changed. Do not plot across.</t>
        </is>
      </c>
    </row>
    <row r="12">
      <c r="A12" s="5" t="inlineStr">
        <is>
          <t>e</t>
        </is>
      </c>
      <c r="B12" s="6" t="inlineStr">
        <is>
          <t>Estimate - source gives an approximation or a verbal quantity.</t>
        </is>
      </c>
    </row>
    <row r="13">
      <c r="A13" s="5" t="inlineStr">
        <is>
          <t>p</t>
        </is>
      </c>
      <c r="B13" s="6" t="inlineStr">
        <is>
          <t>Provisional.</t>
        </is>
      </c>
    </row>
    <row r="14">
      <c r="A14" s="5" t="inlineStr">
        <is>
          <t>d</t>
        </is>
      </c>
      <c r="B14" s="6" t="inlineStr">
        <is>
          <t>Definition differs from the rest of the series.</t>
        </is>
      </c>
    </row>
    <row r="15">
      <c r="A15" s="5" t="inlineStr">
        <is>
          <t>u</t>
        </is>
      </c>
      <c r="B15" s="6" t="inlineStr">
        <is>
          <t>Low reliability.</t>
        </is>
      </c>
    </row>
    <row r="16">
      <c r="A16" s="5" t="inlineStr">
        <is>
          <t>(blank)</t>
        </is>
      </c>
      <c r="B16" s="6" t="inlineStr">
        <is>
          <t>Value as published, no qualification.</t>
        </is>
      </c>
    </row>
    <row r="18">
      <c r="A18" s="3" t="inlineStr">
        <is>
          <t>COLOUR LEGEND</t>
        </is>
      </c>
    </row>
    <row r="19">
      <c r="A19" s="9" t="inlineStr"/>
      <c r="B19" s="6" t="inlineStr">
        <is>
          <t>Retrieved value - as published by the source</t>
        </is>
      </c>
    </row>
    <row r="20">
      <c r="A20" s="10" t="inlineStr"/>
      <c r="B20" s="6" t="inlineStr">
        <is>
          <t>Derived - calculated by formula from retrieved values</t>
        </is>
      </c>
    </row>
    <row r="21">
      <c r="A21" s="11" t="inlineStr"/>
      <c r="B21" s="6" t="inlineStr">
        <is>
          <t>Flagged - estimate, break, or otherwise qualified</t>
        </is>
      </c>
    </row>
    <row r="22">
      <c r="A22" s="12" t="inlineStr"/>
      <c r="B22" s="6" t="inlineStr">
        <is>
          <t>Documented gap - value not retrieved</t>
        </is>
      </c>
    </row>
    <row r="25">
      <c r="A25" s="3" t="inlineStr">
        <is>
          <t>BEFORE CITING</t>
        </is>
      </c>
      <c r="B25" s="4" t="inlineStr">
        <is>
          <t>Read 07_LIMITATIONS. Several series have very few observations and none supports inferential statistics.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7" customWidth="1" min="4" max="4"/>
    <col width="7" customWidth="1" min="5" max="5"/>
    <col width="11" customWidth="1" min="6" max="6"/>
    <col width="12" customWidth="1" min="7" max="7"/>
    <col width="40" customWidth="1" min="8" max="8"/>
    <col width="6" customWidth="1" min="9" max="9"/>
    <col width="10" customWidth="1" min="10" max="10"/>
    <col width="14" customWidth="1" min="11" max="11"/>
    <col width="54" customWidth="1" min="12" max="12"/>
  </cols>
  <sheetData>
    <row r="1" ht="28" customHeight="1">
      <c r="A1" s="8" t="inlineStr">
        <is>
          <t>obs_id</t>
        </is>
      </c>
      <c r="B1" s="8" t="inlineStr">
        <is>
          <t>series_code</t>
        </is>
      </c>
      <c r="C1" s="8" t="inlineStr">
        <is>
          <t>indicator</t>
        </is>
      </c>
      <c r="D1" s="8" t="inlineStr">
        <is>
          <t>geo</t>
        </is>
      </c>
      <c r="E1" s="8" t="inlineStr">
        <is>
          <t>year</t>
        </is>
      </c>
      <c r="F1" s="8" t="inlineStr">
        <is>
          <t>value</t>
        </is>
      </c>
      <c r="G1" s="8" t="inlineStr">
        <is>
          <t>unit</t>
        </is>
      </c>
      <c r="H1" s="8" t="inlineStr">
        <is>
          <t>denominator</t>
        </is>
      </c>
      <c r="I1" s="8" t="inlineStr">
        <is>
          <t>flag</t>
        </is>
      </c>
      <c r="J1" s="8" t="inlineStr">
        <is>
          <t>source_id</t>
        </is>
      </c>
      <c r="K1" s="8" t="inlineStr">
        <is>
          <t>extraction_date</t>
        </is>
      </c>
      <c r="L1" s="8" t="inlineStr">
        <is>
          <t>notes</t>
        </is>
      </c>
    </row>
    <row r="2">
      <c r="A2" s="13" t="n">
        <v>1</v>
      </c>
      <c r="B2" s="14" t="inlineStr">
        <is>
          <t>DK.PAY.CASH.POS</t>
        </is>
      </c>
      <c r="C2" s="15" t="inlineStr">
        <is>
          <t>Cash share of payments, physical retail</t>
        </is>
      </c>
      <c r="D2" s="13" t="inlineStr">
        <is>
          <t>DK</t>
        </is>
      </c>
      <c r="E2" s="13" t="n">
        <v>2017</v>
      </c>
      <c r="F2" s="16" t="n">
        <v>23</v>
      </c>
      <c r="G2" s="13" t="inlineStr">
        <is>
          <t>%</t>
        </is>
      </c>
      <c r="H2" s="15" t="inlineStr">
        <is>
          <t>share of number of payments in physical retail</t>
        </is>
      </c>
      <c r="I2" s="13" t="inlineStr"/>
      <c r="J2" s="14" t="inlineStr">
        <is>
          <t>NB1</t>
        </is>
      </c>
      <c r="K2" s="13" t="inlineStr">
        <is>
          <t>2026-09-12</t>
        </is>
      </c>
      <c r="L2" s="15" t="inlineStr"/>
    </row>
    <row r="3">
      <c r="A3" s="13" t="n">
        <v>2</v>
      </c>
      <c r="B3" s="14" t="inlineStr">
        <is>
          <t>DK.PAY.CASH.POS</t>
        </is>
      </c>
      <c r="C3" s="15" t="inlineStr">
        <is>
          <t>Cash share of payments, physical retail</t>
        </is>
      </c>
      <c r="D3" s="13" t="inlineStr">
        <is>
          <t>DK</t>
        </is>
      </c>
      <c r="E3" s="13" t="n">
        <v>2023</v>
      </c>
      <c r="F3" s="16" t="n">
        <v>11</v>
      </c>
      <c r="G3" s="13" t="inlineStr">
        <is>
          <t>%</t>
        </is>
      </c>
      <c r="H3" s="15" t="inlineStr">
        <is>
          <t>share of number of payments in physical retail</t>
        </is>
      </c>
      <c r="I3" s="13" t="inlineStr"/>
      <c r="J3" s="14" t="inlineStr">
        <is>
          <t>NB1</t>
        </is>
      </c>
      <c r="K3" s="13" t="inlineStr">
        <is>
          <t>2026-09-12</t>
        </is>
      </c>
      <c r="L3" s="15" t="inlineStr"/>
    </row>
    <row r="4">
      <c r="A4" s="13" t="n">
        <v>3</v>
      </c>
      <c r="B4" s="14" t="inlineStr">
        <is>
          <t>DK.PAY.CASH.POS</t>
        </is>
      </c>
      <c r="C4" s="15" t="inlineStr">
        <is>
          <t>Cash share of payments, physical retail</t>
        </is>
      </c>
      <c r="D4" s="13" t="inlineStr">
        <is>
          <t>DK</t>
        </is>
      </c>
      <c r="E4" s="13" t="n">
        <v>2025</v>
      </c>
      <c r="F4" s="16" t="n">
        <v>9</v>
      </c>
      <c r="G4" s="13" t="inlineStr">
        <is>
          <t>%</t>
        </is>
      </c>
      <c r="H4" s="15" t="inlineStr">
        <is>
          <t>share of number of payments in physical retail</t>
        </is>
      </c>
      <c r="I4" s="13" t="inlineStr"/>
      <c r="J4" s="14" t="inlineStr">
        <is>
          <t>NB1</t>
        </is>
      </c>
      <c r="K4" s="13" t="inlineStr">
        <is>
          <t>2026-09-12</t>
        </is>
      </c>
      <c r="L4" s="15" t="inlineStr"/>
    </row>
    <row r="5">
      <c r="A5" s="13" t="n">
        <v>4</v>
      </c>
      <c r="B5" s="14" t="inlineStr">
        <is>
          <t>DK.PAY.CRD.PHYS</t>
        </is>
      </c>
      <c r="C5" s="15" t="inlineStr">
        <is>
          <t>Physical payment card share of payments</t>
        </is>
      </c>
      <c r="D5" s="13" t="inlineStr">
        <is>
          <t>DK</t>
        </is>
      </c>
      <c r="E5" s="13" t="n">
        <v>2017</v>
      </c>
      <c r="F5" s="16" t="n">
        <v>73</v>
      </c>
      <c r="G5" s="13" t="inlineStr">
        <is>
          <t>%</t>
        </is>
      </c>
      <c r="H5" s="15" t="inlineStr">
        <is>
          <t>share of number of payments in physical retail</t>
        </is>
      </c>
      <c r="I5" s="13" t="inlineStr"/>
      <c r="J5" s="14" t="inlineStr">
        <is>
          <t>NB1</t>
        </is>
      </c>
      <c r="K5" s="13" t="inlineStr">
        <is>
          <t>2026-09-12</t>
        </is>
      </c>
      <c r="L5" s="15" t="inlineStr"/>
    </row>
    <row r="6">
      <c r="A6" s="13" t="n">
        <v>5</v>
      </c>
      <c r="B6" s="14" t="inlineStr">
        <is>
          <t>DK.PAY.CRD.PHYS</t>
        </is>
      </c>
      <c r="C6" s="15" t="inlineStr">
        <is>
          <t>Physical payment card share of payments</t>
        </is>
      </c>
      <c r="D6" s="13" t="inlineStr">
        <is>
          <t>DK</t>
        </is>
      </c>
      <c r="E6" s="13" t="n">
        <v>2025</v>
      </c>
      <c r="F6" s="16" t="n">
        <v>54</v>
      </c>
      <c r="G6" s="13" t="inlineStr">
        <is>
          <t>%</t>
        </is>
      </c>
      <c r="H6" s="15" t="inlineStr">
        <is>
          <t>share of number of payments in physical retail</t>
        </is>
      </c>
      <c r="I6" s="13" t="inlineStr"/>
      <c r="J6" s="14" t="inlineStr">
        <is>
          <t>NB1</t>
        </is>
      </c>
      <c r="K6" s="13" t="inlineStr">
        <is>
          <t>2026-09-12</t>
        </is>
      </c>
      <c r="L6" s="15" t="inlineStr"/>
    </row>
    <row r="7">
      <c r="A7" s="13" t="n">
        <v>6</v>
      </c>
      <c r="B7" s="14" t="inlineStr">
        <is>
          <t>DK.PAY.WLT.SHR</t>
        </is>
      </c>
      <c r="C7" s="15" t="inlineStr">
        <is>
          <t>Mobile wallet share of payments</t>
        </is>
      </c>
      <c r="D7" s="13" t="inlineStr">
        <is>
          <t>DK</t>
        </is>
      </c>
      <c r="E7" s="13" t="n">
        <v>2025</v>
      </c>
      <c r="F7" s="16" t="n">
        <v>32</v>
      </c>
      <c r="G7" s="13" t="inlineStr">
        <is>
          <t>%</t>
        </is>
      </c>
      <c r="H7" s="15" t="inlineStr">
        <is>
          <t>share of number of payments in physical retail</t>
        </is>
      </c>
      <c r="I7" s="13" t="inlineStr"/>
      <c r="J7" s="14" t="inlineStr">
        <is>
          <t>NB1</t>
        </is>
      </c>
      <c r="K7" s="13" t="inlineStr">
        <is>
          <t>2026-09-12</t>
        </is>
      </c>
      <c r="L7" s="15" t="inlineStr">
        <is>
          <t>Card-based wallets on mobile phones (e.g. Apple Pay, Google Pay).</t>
        </is>
      </c>
    </row>
    <row r="8">
      <c r="A8" s="13" t="n">
        <v>7</v>
      </c>
      <c r="B8" s="14" t="inlineStr">
        <is>
          <t>DK.PAY.DIG.POS.NUM</t>
        </is>
      </c>
      <c r="C8" s="15" t="inlineStr">
        <is>
          <t>Digital share of payments, by number</t>
        </is>
      </c>
      <c r="D8" s="13" t="inlineStr">
        <is>
          <t>DK</t>
        </is>
      </c>
      <c r="E8" s="13" t="n">
        <v>2025</v>
      </c>
      <c r="F8" s="16" t="n">
        <v>91</v>
      </c>
      <c r="G8" s="13" t="inlineStr">
        <is>
          <t>%</t>
        </is>
      </c>
      <c r="H8" s="15" t="inlineStr">
        <is>
          <t>share of number of payments in physical retail</t>
        </is>
      </c>
      <c r="I8" s="13" t="inlineStr"/>
      <c r="J8" s="14" t="inlineStr">
        <is>
          <t>NB1</t>
        </is>
      </c>
      <c r="K8" s="13" t="inlineStr">
        <is>
          <t>2026-09-12</t>
        </is>
      </c>
      <c r="L8" s="15" t="inlineStr"/>
    </row>
    <row r="9">
      <c r="A9" s="13" t="n">
        <v>8</v>
      </c>
      <c r="B9" s="14" t="inlineStr">
        <is>
          <t>DK.PAY.DIG.POS.VAL</t>
        </is>
      </c>
      <c r="C9" s="15" t="inlineStr">
        <is>
          <t>Digital share of payments, by value</t>
        </is>
      </c>
      <c r="D9" s="13" t="inlineStr">
        <is>
          <t>DK</t>
        </is>
      </c>
      <c r="E9" s="13" t="n">
        <v>2025</v>
      </c>
      <c r="F9" s="16" t="n">
        <v>93</v>
      </c>
      <c r="G9" s="13" t="inlineStr">
        <is>
          <t>%</t>
        </is>
      </c>
      <c r="H9" s="15" t="inlineStr">
        <is>
          <t>share of value of payments in physical retail</t>
        </is>
      </c>
      <c r="I9" s="13" t="inlineStr"/>
      <c r="J9" s="14" t="inlineStr">
        <is>
          <t>NB1</t>
        </is>
      </c>
      <c r="K9" s="13" t="inlineStr">
        <is>
          <t>2026-09-12</t>
        </is>
      </c>
      <c r="L9" s="15" t="inlineStr">
        <is>
          <t>Different denominator from the by-number series - do not plot together.</t>
        </is>
      </c>
    </row>
    <row r="10">
      <c r="A10" s="13" t="n">
        <v>9</v>
      </c>
      <c r="B10" s="14" t="inlineStr">
        <is>
          <t>DK.PAY.WLT.OWN</t>
        </is>
      </c>
      <c r="C10" s="15" t="inlineStr">
        <is>
          <t>Citizens holding a mobile wallet solution</t>
        </is>
      </c>
      <c r="D10" s="13" t="inlineStr">
        <is>
          <t>DK</t>
        </is>
      </c>
      <c r="E10" s="13" t="n">
        <v>2019</v>
      </c>
      <c r="F10" s="16" t="n">
        <v>12</v>
      </c>
      <c r="G10" s="13" t="inlineStr">
        <is>
          <t>%</t>
        </is>
      </c>
      <c r="H10" s="15" t="inlineStr">
        <is>
          <t>% of citizens</t>
        </is>
      </c>
      <c r="I10" s="13" t="inlineStr"/>
      <c r="J10" s="14" t="inlineStr">
        <is>
          <t>NB1</t>
        </is>
      </c>
      <c r="K10" s="13" t="inlineStr">
        <is>
          <t>2026-09-12</t>
        </is>
      </c>
      <c r="L10" s="15" t="inlineStr">
        <is>
          <t>Memo only - denominator differs from F2 series.</t>
        </is>
      </c>
    </row>
    <row r="11">
      <c r="A11" s="13" t="n">
        <v>10</v>
      </c>
      <c r="B11" s="14" t="inlineStr">
        <is>
          <t>DK.PAY.WLT.OWN</t>
        </is>
      </c>
      <c r="C11" s="15" t="inlineStr">
        <is>
          <t>Citizens holding a mobile wallet solution</t>
        </is>
      </c>
      <c r="D11" s="13" t="inlineStr">
        <is>
          <t>DK</t>
        </is>
      </c>
      <c r="E11" s="13" t="n">
        <v>2023</v>
      </c>
      <c r="F11" s="16" t="n">
        <v>41</v>
      </c>
      <c r="G11" s="13" t="inlineStr">
        <is>
          <t>%</t>
        </is>
      </c>
      <c r="H11" s="15" t="inlineStr">
        <is>
          <t>% of citizens</t>
        </is>
      </c>
      <c r="I11" s="13" t="inlineStr"/>
      <c r="J11" s="14" t="inlineStr">
        <is>
          <t>NB1</t>
        </is>
      </c>
      <c r="K11" s="13" t="inlineStr">
        <is>
          <t>2026-09-12</t>
        </is>
      </c>
      <c r="L11" s="15" t="inlineStr">
        <is>
          <t>Memo only - denominator differs from F2 series.</t>
        </is>
      </c>
    </row>
    <row r="12">
      <c r="A12" s="13" t="n">
        <v>11</v>
      </c>
      <c r="B12" s="14" t="inlineStr">
        <is>
          <t>DK.PAY.WLT.OWN</t>
        </is>
      </c>
      <c r="C12" s="15" t="inlineStr">
        <is>
          <t>Citizens holding a mobile wallet solution</t>
        </is>
      </c>
      <c r="D12" s="13" t="inlineStr">
        <is>
          <t>DK</t>
        </is>
      </c>
      <c r="E12" s="13" t="n">
        <v>2025</v>
      </c>
      <c r="F12" s="16" t="n">
        <v>51</v>
      </c>
      <c r="G12" s="13" t="inlineStr">
        <is>
          <t>%</t>
        </is>
      </c>
      <c r="H12" s="15" t="inlineStr">
        <is>
          <t>% of citizens</t>
        </is>
      </c>
      <c r="I12" s="13" t="inlineStr"/>
      <c r="J12" s="14" t="inlineStr">
        <is>
          <t>NB1</t>
        </is>
      </c>
      <c r="K12" s="13" t="inlineStr">
        <is>
          <t>2026-09-12</t>
        </is>
      </c>
      <c r="L12" s="15" t="inlineStr">
        <is>
          <t>Memo only - denominator differs from F2 series.</t>
        </is>
      </c>
    </row>
    <row r="13">
      <c r="A13" s="13" t="n">
        <v>12</v>
      </c>
      <c r="B13" s="14" t="inlineStr">
        <is>
          <t>DK.FIN.BRCH</t>
        </is>
      </c>
      <c r="C13" s="15" t="inlineStr">
        <is>
          <t>Bank branches</t>
        </is>
      </c>
      <c r="D13" s="13" t="inlineStr">
        <is>
          <t>DK</t>
        </is>
      </c>
      <c r="E13" s="13" t="n">
        <v>2004</v>
      </c>
      <c r="F13" s="17" t="n">
        <v>2025</v>
      </c>
      <c r="G13" s="13" t="inlineStr">
        <is>
          <t>count</t>
        </is>
      </c>
      <c r="H13" s="15" t="inlineStr">
        <is>
          <t>branches</t>
        </is>
      </c>
      <c r="I13" s="13" t="inlineStr"/>
      <c r="J13" s="14" t="inlineStr">
        <is>
          <t>FD1</t>
        </is>
      </c>
      <c r="K13" s="13" t="inlineStr">
        <is>
          <t>2026-09-12</t>
        </is>
      </c>
      <c r="L13" s="15" t="inlineStr"/>
    </row>
    <row r="14">
      <c r="A14" s="13" t="n">
        <v>13</v>
      </c>
      <c r="B14" s="14" t="inlineStr">
        <is>
          <t>DK.FIN.BRCH</t>
        </is>
      </c>
      <c r="C14" s="15" t="inlineStr">
        <is>
          <t>Bank branches</t>
        </is>
      </c>
      <c r="D14" s="13" t="inlineStr">
        <is>
          <t>DK</t>
        </is>
      </c>
      <c r="E14" s="13" t="n">
        <v>2006</v>
      </c>
      <c r="F14" s="17" t="n">
        <v>1975</v>
      </c>
      <c r="G14" s="13" t="inlineStr">
        <is>
          <t>count</t>
        </is>
      </c>
      <c r="H14" s="15" t="inlineStr">
        <is>
          <t>branches</t>
        </is>
      </c>
      <c r="I14" s="13" t="inlineStr"/>
      <c r="J14" s="14" t="inlineStr">
        <is>
          <t>FD1</t>
        </is>
      </c>
      <c r="K14" s="13" t="inlineStr">
        <is>
          <t>2026-09-12</t>
        </is>
      </c>
      <c r="L14" s="15" t="inlineStr"/>
    </row>
    <row r="15">
      <c r="A15" s="13" t="n">
        <v>14</v>
      </c>
      <c r="B15" s="14" t="inlineStr">
        <is>
          <t>DK.FIN.BRCH</t>
        </is>
      </c>
      <c r="C15" s="15" t="inlineStr">
        <is>
          <t>Bank branches</t>
        </is>
      </c>
      <c r="D15" s="13" t="inlineStr">
        <is>
          <t>DK</t>
        </is>
      </c>
      <c r="E15" s="13" t="n">
        <v>2010</v>
      </c>
      <c r="F15" s="17" t="n">
        <v>1598</v>
      </c>
      <c r="G15" s="13" t="inlineStr">
        <is>
          <t>count</t>
        </is>
      </c>
      <c r="H15" s="15" t="inlineStr">
        <is>
          <t>branches</t>
        </is>
      </c>
      <c r="I15" s="13" t="inlineStr"/>
      <c r="J15" s="14" t="inlineStr">
        <is>
          <t>FD1</t>
        </is>
      </c>
      <c r="K15" s="13" t="inlineStr">
        <is>
          <t>2026-09-12</t>
        </is>
      </c>
      <c r="L15" s="15" t="inlineStr"/>
    </row>
    <row r="16">
      <c r="A16" s="13" t="n">
        <v>15</v>
      </c>
      <c r="B16" s="14" t="inlineStr">
        <is>
          <t>DK.FIN.BRCH</t>
        </is>
      </c>
      <c r="C16" s="15" t="inlineStr">
        <is>
          <t>Bank branches</t>
        </is>
      </c>
      <c r="D16" s="13" t="inlineStr">
        <is>
          <t>DK</t>
        </is>
      </c>
      <c r="E16" s="13" t="n">
        <v>2016</v>
      </c>
      <c r="F16" s="17" t="n">
        <v>948</v>
      </c>
      <c r="G16" s="13" t="inlineStr">
        <is>
          <t>count</t>
        </is>
      </c>
      <c r="H16" s="15" t="inlineStr">
        <is>
          <t>branches</t>
        </is>
      </c>
      <c r="I16" s="13" t="inlineStr"/>
      <c r="J16" s="14" t="inlineStr">
        <is>
          <t>FD1</t>
        </is>
      </c>
      <c r="K16" s="13" t="inlineStr">
        <is>
          <t>2026-09-12</t>
        </is>
      </c>
      <c r="L16" s="15" t="inlineStr"/>
    </row>
    <row r="17">
      <c r="A17" s="13" t="n">
        <v>16</v>
      </c>
      <c r="B17" s="14" t="inlineStr">
        <is>
          <t>DK.FIN.BRCH</t>
        </is>
      </c>
      <c r="C17" s="15" t="inlineStr">
        <is>
          <t>Bank branches</t>
        </is>
      </c>
      <c r="D17" s="13" t="inlineStr">
        <is>
          <t>DK</t>
        </is>
      </c>
      <c r="E17" s="13" t="n">
        <v>2021</v>
      </c>
      <c r="F17" s="17" t="n">
        <v>701</v>
      </c>
      <c r="G17" s="13" t="inlineStr">
        <is>
          <t>count</t>
        </is>
      </c>
      <c r="H17" s="15" t="inlineStr">
        <is>
          <t>branches</t>
        </is>
      </c>
      <c r="I17" s="13" t="inlineStr"/>
      <c r="J17" s="14" t="inlineStr">
        <is>
          <t>FD1</t>
        </is>
      </c>
      <c r="K17" s="13" t="inlineStr">
        <is>
          <t>2026-09-12</t>
        </is>
      </c>
      <c r="L17" s="15" t="inlineStr"/>
    </row>
    <row r="18">
      <c r="A18" s="13" t="n">
        <v>17</v>
      </c>
      <c r="B18" s="14" t="inlineStr">
        <is>
          <t>DK.FIN.BRCH</t>
        </is>
      </c>
      <c r="C18" s="15" t="inlineStr">
        <is>
          <t>Bank branches</t>
        </is>
      </c>
      <c r="D18" s="13" t="inlineStr">
        <is>
          <t>DK</t>
        </is>
      </c>
      <c r="E18" s="13" t="n">
        <v>2024</v>
      </c>
      <c r="F18" s="17" t="n">
        <v>665</v>
      </c>
      <c r="G18" s="13" t="inlineStr">
        <is>
          <t>count</t>
        </is>
      </c>
      <c r="H18" s="15" t="inlineStr">
        <is>
          <t>branches</t>
        </is>
      </c>
      <c r="I18" s="13" t="inlineStr"/>
      <c r="J18" s="14" t="inlineStr">
        <is>
          <t>FD1</t>
        </is>
      </c>
      <c r="K18" s="13" t="inlineStr">
        <is>
          <t>2026-09-12</t>
        </is>
      </c>
      <c r="L18" s="15" t="inlineStr"/>
    </row>
    <row r="19">
      <c r="A19" s="13" t="n">
        <v>18</v>
      </c>
      <c r="B19" s="14" t="inlineStr">
        <is>
          <t>DK.FIN.INST</t>
        </is>
      </c>
      <c r="C19" s="15" t="inlineStr">
        <is>
          <t>Financial institutions</t>
        </is>
      </c>
      <c r="D19" s="13" t="inlineStr">
        <is>
          <t>DK</t>
        </is>
      </c>
      <c r="E19" s="13" t="n">
        <v>1991</v>
      </c>
      <c r="F19" s="17" t="n">
        <v>219</v>
      </c>
      <c r="G19" s="13" t="inlineStr">
        <is>
          <t>count</t>
        </is>
      </c>
      <c r="H19" s="15" t="inlineStr">
        <is>
          <t>institutions</t>
        </is>
      </c>
      <c r="I19" s="13" t="inlineStr"/>
      <c r="J19" s="14" t="inlineStr">
        <is>
          <t>FD1</t>
        </is>
      </c>
      <c r="K19" s="13" t="inlineStr">
        <is>
          <t>2026-09-12</t>
        </is>
      </c>
      <c r="L19" s="15" t="inlineStr"/>
    </row>
    <row r="20">
      <c r="A20" s="13" t="n">
        <v>19</v>
      </c>
      <c r="B20" s="14" t="inlineStr">
        <is>
          <t>DK.FIN.INST</t>
        </is>
      </c>
      <c r="C20" s="15" t="inlineStr">
        <is>
          <t>Financial institutions</t>
        </is>
      </c>
      <c r="D20" s="13" t="inlineStr">
        <is>
          <t>DK</t>
        </is>
      </c>
      <c r="E20" s="13" t="n">
        <v>2024</v>
      </c>
      <c r="F20" s="17" t="n">
        <v>51</v>
      </c>
      <c r="G20" s="13" t="inlineStr">
        <is>
          <t>count</t>
        </is>
      </c>
      <c r="H20" s="15" t="inlineStr">
        <is>
          <t>institutions</t>
        </is>
      </c>
      <c r="I20" s="13" t="inlineStr"/>
      <c r="J20" s="14" t="inlineStr">
        <is>
          <t>FD1</t>
        </is>
      </c>
      <c r="K20" s="13" t="inlineStr">
        <is>
          <t>2026-09-12</t>
        </is>
      </c>
      <c r="L20" s="15" t="inlineStr"/>
    </row>
    <row r="21">
      <c r="A21" s="18" t="n">
        <v>20</v>
      </c>
      <c r="B21" s="19" t="inlineStr">
        <is>
          <t>DK.FIN.EMP</t>
        </is>
      </c>
      <c r="C21" s="20" t="inlineStr">
        <is>
          <t>Bank employees</t>
        </is>
      </c>
      <c r="D21" s="18" t="inlineStr">
        <is>
          <t>DK</t>
        </is>
      </c>
      <c r="E21" s="18" t="n">
        <v>1991</v>
      </c>
      <c r="F21" s="21" t="n">
        <v>51000</v>
      </c>
      <c r="G21" s="18" t="inlineStr">
        <is>
          <t>count</t>
        </is>
      </c>
      <c r="H21" s="20" t="inlineStr">
        <is>
          <t>persons employed</t>
        </is>
      </c>
      <c r="I21" s="18" t="inlineStr">
        <is>
          <t>e</t>
        </is>
      </c>
      <c r="J21" s="19" t="inlineStr">
        <is>
          <t>FD1</t>
        </is>
      </c>
      <c r="K21" s="18" t="inlineStr">
        <is>
          <t>2026-09-12</t>
        </is>
      </c>
      <c r="L21" s="20" t="inlineStr">
        <is>
          <t>Source states 'around 51,000'.</t>
        </is>
      </c>
    </row>
    <row r="22">
      <c r="A22" s="18" t="n">
        <v>21</v>
      </c>
      <c r="B22" s="19" t="inlineStr">
        <is>
          <t>DK.FIN.EMP</t>
        </is>
      </c>
      <c r="C22" s="20" t="inlineStr">
        <is>
          <t>Bank employees</t>
        </is>
      </c>
      <c r="D22" s="18" t="inlineStr">
        <is>
          <t>DK</t>
        </is>
      </c>
      <c r="E22" s="18" t="n">
        <v>2024</v>
      </c>
      <c r="F22" s="21" t="n">
        <v>36000</v>
      </c>
      <c r="G22" s="18" t="inlineStr">
        <is>
          <t>count</t>
        </is>
      </c>
      <c r="H22" s="20" t="inlineStr">
        <is>
          <t>persons employed</t>
        </is>
      </c>
      <c r="I22" s="18" t="inlineStr">
        <is>
          <t>e</t>
        </is>
      </c>
      <c r="J22" s="19" t="inlineStr">
        <is>
          <t>FD1</t>
        </is>
      </c>
      <c r="K22" s="18" t="inlineStr">
        <is>
          <t>2026-09-12</t>
        </is>
      </c>
      <c r="L22" s="20" t="inlineStr">
        <is>
          <t>Source states 'just under 36,000'.</t>
        </is>
      </c>
    </row>
    <row r="23">
      <c r="A23" s="18" t="n">
        <v>22</v>
      </c>
      <c r="B23" s="19" t="inlineStr">
        <is>
          <t>DK.ECM.IND.BUY</t>
        </is>
      </c>
      <c r="C23" s="20" t="inlineStr">
        <is>
          <t>Individuals who bought online in last 12 months</t>
        </is>
      </c>
      <c r="D23" s="18" t="inlineStr">
        <is>
          <t>DK</t>
        </is>
      </c>
      <c r="E23" s="18" t="n">
        <v>2019</v>
      </c>
      <c r="F23" s="22" t="n">
        <v>84</v>
      </c>
      <c r="G23" s="18" t="inlineStr">
        <is>
          <t>%</t>
        </is>
      </c>
      <c r="H23" s="20" t="inlineStr">
        <is>
          <t>% of individuals</t>
        </is>
      </c>
      <c r="I23" s="18" t="inlineStr">
        <is>
          <t>b</t>
        </is>
      </c>
      <c r="J23" s="19" t="inlineStr">
        <is>
          <t>ES1</t>
        </is>
      </c>
      <c r="K23" s="18" t="inlineStr">
        <is>
          <t>2026-09-12</t>
        </is>
      </c>
      <c r="L23" s="20" t="inlineStr">
        <is>
          <t>BREAK: denominator is % of individuals. Highest in EU that year.</t>
        </is>
      </c>
    </row>
    <row r="24">
      <c r="A24" s="13" t="n">
        <v>23</v>
      </c>
      <c r="B24" s="14" t="inlineStr">
        <is>
          <t>DK.ECM.IND.BUY</t>
        </is>
      </c>
      <c r="C24" s="15" t="inlineStr">
        <is>
          <t>Individuals who bought online in last 12 months</t>
        </is>
      </c>
      <c r="D24" s="13" t="inlineStr">
        <is>
          <t>DK</t>
        </is>
      </c>
      <c r="E24" s="13" t="n">
        <v>2020</v>
      </c>
      <c r="F24" s="16" t="n">
        <v>90</v>
      </c>
      <c r="G24" s="13" t="inlineStr">
        <is>
          <t>%</t>
        </is>
      </c>
      <c r="H24" s="15" t="inlineStr">
        <is>
          <t>% of internet users</t>
        </is>
      </c>
      <c r="I24" s="13" t="inlineStr"/>
      <c r="J24" s="14" t="inlineStr">
        <is>
          <t>ES2</t>
        </is>
      </c>
      <c r="K24" s="13" t="inlineStr">
        <is>
          <t>2026-09-12</t>
        </is>
      </c>
      <c r="L24" s="15" t="inlineStr"/>
    </row>
    <row r="25">
      <c r="A25" s="13" t="n">
        <v>24</v>
      </c>
      <c r="B25" s="14" t="inlineStr">
        <is>
          <t>DK.ECM.IND.BUY</t>
        </is>
      </c>
      <c r="C25" s="15" t="inlineStr">
        <is>
          <t>Individuals who bought online in last 12 months</t>
        </is>
      </c>
      <c r="D25" s="13" t="inlineStr">
        <is>
          <t>DK</t>
        </is>
      </c>
      <c r="E25" s="13" t="n">
        <v>2021</v>
      </c>
      <c r="F25" s="16" t="n">
        <v>92</v>
      </c>
      <c r="G25" s="13" t="inlineStr">
        <is>
          <t>%</t>
        </is>
      </c>
      <c r="H25" s="15" t="inlineStr">
        <is>
          <t>% of internet users</t>
        </is>
      </c>
      <c r="I25" s="13" t="inlineStr"/>
      <c r="J25" s="14" t="inlineStr">
        <is>
          <t>ES3</t>
        </is>
      </c>
      <c r="K25" s="13" t="inlineStr">
        <is>
          <t>2026-09-12</t>
        </is>
      </c>
      <c r="L25" s="15" t="inlineStr"/>
    </row>
    <row r="26">
      <c r="A26" s="13" t="n">
        <v>25</v>
      </c>
      <c r="B26" s="14" t="inlineStr">
        <is>
          <t>DK.ECM.IND.BUY</t>
        </is>
      </c>
      <c r="C26" s="15" t="inlineStr">
        <is>
          <t>Individuals who bought online in last 12 months</t>
        </is>
      </c>
      <c r="D26" s="13" t="inlineStr">
        <is>
          <t>DK</t>
        </is>
      </c>
      <c r="E26" s="13" t="n">
        <v>2024</v>
      </c>
      <c r="F26" s="16" t="n">
        <v>91</v>
      </c>
      <c r="G26" s="13" t="inlineStr">
        <is>
          <t>%</t>
        </is>
      </c>
      <c r="H26" s="15" t="inlineStr">
        <is>
          <t>% of internet users</t>
        </is>
      </c>
      <c r="I26" s="13" t="inlineStr"/>
      <c r="J26" s="14" t="inlineStr">
        <is>
          <t>ES4</t>
        </is>
      </c>
      <c r="K26" s="13" t="inlineStr">
        <is>
          <t>2026-09-12</t>
        </is>
      </c>
      <c r="L26" s="15" t="inlineStr"/>
    </row>
    <row r="27">
      <c r="A27" s="13" t="n">
        <v>26</v>
      </c>
      <c r="B27" s="14" t="inlineStr">
        <is>
          <t>EU.ECM.IND.BUY</t>
        </is>
      </c>
      <c r="C27" s="15" t="inlineStr">
        <is>
          <t>Individuals who bought online in last 12 months</t>
        </is>
      </c>
      <c r="D27" s="13" t="inlineStr">
        <is>
          <t>EU27</t>
        </is>
      </c>
      <c r="E27" s="13" t="n">
        <v>2014</v>
      </c>
      <c r="F27" s="16" t="n">
        <v>59</v>
      </c>
      <c r="G27" s="13" t="inlineStr">
        <is>
          <t>%</t>
        </is>
      </c>
      <c r="H27" s="15" t="inlineStr">
        <is>
          <t>% of internet users</t>
        </is>
      </c>
      <c r="I27" s="13" t="inlineStr"/>
      <c r="J27" s="14" t="inlineStr">
        <is>
          <t>ES4</t>
        </is>
      </c>
      <c r="K27" s="13" t="inlineStr">
        <is>
          <t>2026-09-12</t>
        </is>
      </c>
      <c r="L27" s="15" t="inlineStr"/>
    </row>
    <row r="28">
      <c r="A28" s="13" t="n">
        <v>27</v>
      </c>
      <c r="B28" s="14" t="inlineStr">
        <is>
          <t>EU.ECM.IND.BUY</t>
        </is>
      </c>
      <c r="C28" s="15" t="inlineStr">
        <is>
          <t>Individuals who bought online in last 12 months</t>
        </is>
      </c>
      <c r="D28" s="13" t="inlineStr">
        <is>
          <t>EU27</t>
        </is>
      </c>
      <c r="E28" s="13" t="n">
        <v>2024</v>
      </c>
      <c r="F28" s="16" t="n">
        <v>77</v>
      </c>
      <c r="G28" s="13" t="inlineStr">
        <is>
          <t>%</t>
        </is>
      </c>
      <c r="H28" s="15" t="inlineStr">
        <is>
          <t>% of internet users</t>
        </is>
      </c>
      <c r="I28" s="13" t="inlineStr"/>
      <c r="J28" s="14" t="inlineStr">
        <is>
          <t>ES4</t>
        </is>
      </c>
      <c r="K28" s="13" t="inlineStr">
        <is>
          <t>2026-09-12</t>
        </is>
      </c>
      <c r="L28" s="15" t="inlineStr"/>
    </row>
    <row r="29">
      <c r="A29" s="13" t="n">
        <v>28</v>
      </c>
      <c r="B29" s="14" t="inlineStr">
        <is>
          <t>IE.ECM.IND.BUY</t>
        </is>
      </c>
      <c r="C29" s="15" t="inlineStr">
        <is>
          <t>Individuals who bought online in last 12 months</t>
        </is>
      </c>
      <c r="D29" s="13" t="inlineStr">
        <is>
          <t>IE</t>
        </is>
      </c>
      <c r="E29" s="13" t="n">
        <v>2024</v>
      </c>
      <c r="F29" s="16" t="n">
        <v>96</v>
      </c>
      <c r="G29" s="13" t="inlineStr">
        <is>
          <t>%</t>
        </is>
      </c>
      <c r="H29" s="15" t="inlineStr">
        <is>
          <t>% of internet users</t>
        </is>
      </c>
      <c r="I29" s="13" t="inlineStr"/>
      <c r="J29" s="14" t="inlineStr">
        <is>
          <t>ES4</t>
        </is>
      </c>
      <c r="K29" s="13" t="inlineStr">
        <is>
          <t>2026-09-12</t>
        </is>
      </c>
      <c r="L29" s="15" t="inlineStr">
        <is>
          <t>Highest in EU.</t>
        </is>
      </c>
    </row>
    <row r="30">
      <c r="A30" s="13" t="n">
        <v>29</v>
      </c>
      <c r="B30" s="14" t="inlineStr">
        <is>
          <t>NL.ECM.IND.BUY</t>
        </is>
      </c>
      <c r="C30" s="15" t="inlineStr">
        <is>
          <t>Individuals who bought online in last 12 months</t>
        </is>
      </c>
      <c r="D30" s="13" t="inlineStr">
        <is>
          <t>NL</t>
        </is>
      </c>
      <c r="E30" s="13" t="n">
        <v>2024</v>
      </c>
      <c r="F30" s="16" t="n">
        <v>94</v>
      </c>
      <c r="G30" s="13" t="inlineStr">
        <is>
          <t>%</t>
        </is>
      </c>
      <c r="H30" s="15" t="inlineStr">
        <is>
          <t>% of internet users</t>
        </is>
      </c>
      <c r="I30" s="13" t="inlineStr"/>
      <c r="J30" s="14" t="inlineStr">
        <is>
          <t>ES4</t>
        </is>
      </c>
      <c r="K30" s="13" t="inlineStr">
        <is>
          <t>2026-09-12</t>
        </is>
      </c>
      <c r="L30" s="15" t="inlineStr"/>
    </row>
    <row r="31">
      <c r="A31" s="13" t="n">
        <v>30</v>
      </c>
      <c r="B31" s="14" t="inlineStr">
        <is>
          <t>DE.ECM.IND.BUY</t>
        </is>
      </c>
      <c r="C31" s="15" t="inlineStr">
        <is>
          <t>Individuals who bought online in last 12 months</t>
        </is>
      </c>
      <c r="D31" s="13" t="inlineStr">
        <is>
          <t>DE</t>
        </is>
      </c>
      <c r="E31" s="13" t="n">
        <v>2024</v>
      </c>
      <c r="F31" s="16" t="n">
        <v>83</v>
      </c>
      <c r="G31" s="13" t="inlineStr">
        <is>
          <t>%</t>
        </is>
      </c>
      <c r="H31" s="15" t="inlineStr">
        <is>
          <t>% of internet users</t>
        </is>
      </c>
      <c r="I31" s="13" t="inlineStr"/>
      <c r="J31" s="14" t="inlineStr">
        <is>
          <t>ES4</t>
        </is>
      </c>
      <c r="K31" s="13" t="inlineStr">
        <is>
          <t>2026-09-12</t>
        </is>
      </c>
      <c r="L31" s="15" t="inlineStr">
        <is>
          <t>Ranked 8th in EU.</t>
        </is>
      </c>
    </row>
    <row r="32">
      <c r="A32" s="13" t="n">
        <v>31</v>
      </c>
      <c r="B32" s="14" t="inlineStr">
        <is>
          <t>IT.ECM.IND.BUY</t>
        </is>
      </c>
      <c r="C32" s="15" t="inlineStr">
        <is>
          <t>Individuals who bought online in last 12 months</t>
        </is>
      </c>
      <c r="D32" s="13" t="inlineStr">
        <is>
          <t>IT</t>
        </is>
      </c>
      <c r="E32" s="13" t="n">
        <v>2024</v>
      </c>
      <c r="F32" s="16" t="n">
        <v>60</v>
      </c>
      <c r="G32" s="13" t="inlineStr">
        <is>
          <t>%</t>
        </is>
      </c>
      <c r="H32" s="15" t="inlineStr">
        <is>
          <t>% of internet users</t>
        </is>
      </c>
      <c r="I32" s="13" t="inlineStr"/>
      <c r="J32" s="14" t="inlineStr">
        <is>
          <t>ES4</t>
        </is>
      </c>
      <c r="K32" s="13" t="inlineStr">
        <is>
          <t>2026-09-12</t>
        </is>
      </c>
      <c r="L32" s="15" t="inlineStr"/>
    </row>
    <row r="33">
      <c r="A33" s="13" t="n">
        <v>32</v>
      </c>
      <c r="B33" s="14" t="inlineStr">
        <is>
          <t>RO.ECM.IND.BUY</t>
        </is>
      </c>
      <c r="C33" s="15" t="inlineStr">
        <is>
          <t>Individuals who bought online in last 12 months</t>
        </is>
      </c>
      <c r="D33" s="13" t="inlineStr">
        <is>
          <t>RO</t>
        </is>
      </c>
      <c r="E33" s="13" t="n">
        <v>2024</v>
      </c>
      <c r="F33" s="16" t="n">
        <v>60</v>
      </c>
      <c r="G33" s="13" t="inlineStr">
        <is>
          <t>%</t>
        </is>
      </c>
      <c r="H33" s="15" t="inlineStr">
        <is>
          <t>% of internet users</t>
        </is>
      </c>
      <c r="I33" s="13" t="inlineStr"/>
      <c r="J33" s="14" t="inlineStr">
        <is>
          <t>ES4</t>
        </is>
      </c>
      <c r="K33" s="13" t="inlineStr">
        <is>
          <t>2026-09-12</t>
        </is>
      </c>
      <c r="L33" s="15" t="inlineStr"/>
    </row>
    <row r="34">
      <c r="A34" s="13" t="n">
        <v>33</v>
      </c>
      <c r="B34" s="14" t="inlineStr">
        <is>
          <t>BG.ECM.IND.BUY</t>
        </is>
      </c>
      <c r="C34" s="15" t="inlineStr">
        <is>
          <t>Individuals who bought online in last 12 months</t>
        </is>
      </c>
      <c r="D34" s="13" t="inlineStr">
        <is>
          <t>BG</t>
        </is>
      </c>
      <c r="E34" s="13" t="n">
        <v>2024</v>
      </c>
      <c r="F34" s="16" t="n">
        <v>57</v>
      </c>
      <c r="G34" s="13" t="inlineStr">
        <is>
          <t>%</t>
        </is>
      </c>
      <c r="H34" s="15" t="inlineStr">
        <is>
          <t>% of internet users</t>
        </is>
      </c>
      <c r="I34" s="13" t="inlineStr"/>
      <c r="J34" s="14" t="inlineStr">
        <is>
          <t>ES4</t>
        </is>
      </c>
      <c r="K34" s="13" t="inlineStr">
        <is>
          <t>2026-09-12</t>
        </is>
      </c>
      <c r="L34" s="15" t="inlineStr">
        <is>
          <t>Lowest in EU.</t>
        </is>
      </c>
    </row>
    <row r="35">
      <c r="A35" s="13" t="n">
        <v>34</v>
      </c>
      <c r="B35" s="14" t="inlineStr">
        <is>
          <t>DK.ECM.ENT.TRN</t>
        </is>
      </c>
      <c r="C35" s="15" t="inlineStr">
        <is>
          <t>E-sales as share of enterprise turnover</t>
        </is>
      </c>
      <c r="D35" s="13" t="inlineStr">
        <is>
          <t>DK</t>
        </is>
      </c>
      <c r="E35" s="13" t="n">
        <v>2014</v>
      </c>
      <c r="F35" s="16" t="n">
        <v>17.05</v>
      </c>
      <c r="G35" s="13" t="inlineStr">
        <is>
          <t>%</t>
        </is>
      </c>
      <c r="H35" s="15" t="inlineStr">
        <is>
          <t>% of total enterprise turnover</t>
        </is>
      </c>
      <c r="I35" s="13" t="inlineStr"/>
      <c r="J35" s="14" t="inlineStr">
        <is>
          <t>ES5</t>
        </is>
      </c>
      <c r="K35" s="13" t="inlineStr">
        <is>
          <t>2026-09-12</t>
        </is>
      </c>
      <c r="L35" s="15" t="inlineStr"/>
    </row>
    <row r="36">
      <c r="A36" s="13" t="n">
        <v>35</v>
      </c>
      <c r="B36" s="14" t="inlineStr">
        <is>
          <t>DK.ECM.ENT.TRN</t>
        </is>
      </c>
      <c r="C36" s="15" t="inlineStr">
        <is>
          <t>E-sales as share of enterprise turnover</t>
        </is>
      </c>
      <c r="D36" s="13" t="inlineStr">
        <is>
          <t>DK</t>
        </is>
      </c>
      <c r="E36" s="13" t="n">
        <v>2024</v>
      </c>
      <c r="F36" s="16" t="n">
        <v>33.31</v>
      </c>
      <c r="G36" s="13" t="inlineStr">
        <is>
          <t>%</t>
        </is>
      </c>
      <c r="H36" s="15" t="inlineStr">
        <is>
          <t>% of total enterprise turnover</t>
        </is>
      </c>
      <c r="I36" s="13" t="inlineStr"/>
      <c r="J36" s="14" t="inlineStr">
        <is>
          <t>ES5</t>
        </is>
      </c>
      <c r="K36" s="13" t="inlineStr">
        <is>
          <t>2026-09-12</t>
        </is>
      </c>
      <c r="L36" s="15" t="inlineStr">
        <is>
          <t>2nd in EU after Ireland.</t>
        </is>
      </c>
    </row>
    <row r="37">
      <c r="A37" s="13" t="n">
        <v>36</v>
      </c>
      <c r="B37" s="14" t="inlineStr">
        <is>
          <t>EU.ECM.ENT.TRN</t>
        </is>
      </c>
      <c r="C37" s="15" t="inlineStr">
        <is>
          <t>E-sales as share of enterprise turnover</t>
        </is>
      </c>
      <c r="D37" s="13" t="inlineStr">
        <is>
          <t>EU27</t>
        </is>
      </c>
      <c r="E37" s="13" t="n">
        <v>2014</v>
      </c>
      <c r="F37" s="16" t="n">
        <v>16.43</v>
      </c>
      <c r="G37" s="13" t="inlineStr">
        <is>
          <t>%</t>
        </is>
      </c>
      <c r="H37" s="15" t="inlineStr">
        <is>
          <t>% of total enterprise turnover</t>
        </is>
      </c>
      <c r="I37" s="13" t="inlineStr"/>
      <c r="J37" s="14" t="inlineStr">
        <is>
          <t>ES5</t>
        </is>
      </c>
      <c r="K37" s="13" t="inlineStr">
        <is>
          <t>2026-09-12</t>
        </is>
      </c>
      <c r="L37" s="15" t="inlineStr"/>
    </row>
    <row r="38">
      <c r="A38" s="13" t="n">
        <v>37</v>
      </c>
      <c r="B38" s="14" t="inlineStr">
        <is>
          <t>EU.ECM.ENT.TRN</t>
        </is>
      </c>
      <c r="C38" s="15" t="inlineStr">
        <is>
          <t>E-sales as share of enterprise turnover</t>
        </is>
      </c>
      <c r="D38" s="13" t="inlineStr">
        <is>
          <t>EU27</t>
        </is>
      </c>
      <c r="E38" s="13" t="n">
        <v>2024</v>
      </c>
      <c r="F38" s="16" t="n">
        <v>19.49</v>
      </c>
      <c r="G38" s="13" t="inlineStr">
        <is>
          <t>%</t>
        </is>
      </c>
      <c r="H38" s="15" t="inlineStr">
        <is>
          <t>% of total enterprise turnover</t>
        </is>
      </c>
      <c r="I38" s="13" t="inlineStr"/>
      <c r="J38" s="14" t="inlineStr">
        <is>
          <t>ES5</t>
        </is>
      </c>
      <c r="K38" s="13" t="inlineStr">
        <is>
          <t>2026-09-12</t>
        </is>
      </c>
      <c r="L38" s="15" t="inlineStr"/>
    </row>
    <row r="39">
      <c r="A39" s="13" t="n">
        <v>38</v>
      </c>
      <c r="B39" s="14" t="inlineStr">
        <is>
          <t>IE.ECM.ENT.TRN</t>
        </is>
      </c>
      <c r="C39" s="15" t="inlineStr">
        <is>
          <t>E-sales as share of enterprise turnover</t>
        </is>
      </c>
      <c r="D39" s="13" t="inlineStr">
        <is>
          <t>IE</t>
        </is>
      </c>
      <c r="E39" s="13" t="n">
        <v>2024</v>
      </c>
      <c r="F39" s="16" t="n">
        <v>38.25</v>
      </c>
      <c r="G39" s="13" t="inlineStr">
        <is>
          <t>%</t>
        </is>
      </c>
      <c r="H39" s="15" t="inlineStr">
        <is>
          <t>% of total enterprise turnover</t>
        </is>
      </c>
      <c r="I39" s="13" t="inlineStr"/>
      <c r="J39" s="14" t="inlineStr">
        <is>
          <t>ES5</t>
        </is>
      </c>
      <c r="K39" s="13" t="inlineStr">
        <is>
          <t>2026-09-12</t>
        </is>
      </c>
      <c r="L39" s="15" t="inlineStr">
        <is>
          <t>Highest in EU.</t>
        </is>
      </c>
    </row>
    <row r="40">
      <c r="A40" s="13" t="n">
        <v>39</v>
      </c>
      <c r="B40" s="14" t="inlineStr">
        <is>
          <t>HU.ECM.IND.BUY</t>
        </is>
      </c>
      <c r="C40" s="15" t="inlineStr">
        <is>
          <t>Individuals who bought online in last 12 months</t>
        </is>
      </c>
      <c r="D40" s="13" t="inlineStr">
        <is>
          <t>HU</t>
        </is>
      </c>
      <c r="E40" s="13" t="n">
        <v>2024</v>
      </c>
      <c r="F40" s="16" t="n">
        <v>79</v>
      </c>
      <c r="G40" s="13" t="inlineStr">
        <is>
          <t>%</t>
        </is>
      </c>
      <c r="H40" s="15" t="inlineStr">
        <is>
          <t>% of internet users</t>
        </is>
      </c>
      <c r="I40" s="13" t="inlineStr"/>
      <c r="J40" s="14" t="inlineStr">
        <is>
          <t>ES4</t>
        </is>
      </c>
      <c r="K40" s="13" t="inlineStr">
        <is>
          <t>2026-09-12</t>
        </is>
      </c>
      <c r="L40" s="15" t="inlineStr">
        <is>
          <t>Rose 37pp from 42% in 2014.</t>
        </is>
      </c>
    </row>
    <row r="41">
      <c r="A41" s="13" t="n">
        <v>40</v>
      </c>
      <c r="B41" s="14" t="inlineStr">
        <is>
          <t>LT.ECM.IND.BUY</t>
        </is>
      </c>
      <c r="C41" s="15" t="inlineStr">
        <is>
          <t>Individuals who bought online in last 12 months</t>
        </is>
      </c>
      <c r="D41" s="13" t="inlineStr">
        <is>
          <t>LT</t>
        </is>
      </c>
      <c r="E41" s="13" t="n">
        <v>2024</v>
      </c>
      <c r="F41" s="16" t="n">
        <v>72</v>
      </c>
      <c r="G41" s="13" t="inlineStr">
        <is>
          <t>%</t>
        </is>
      </c>
      <c r="H41" s="15" t="inlineStr">
        <is>
          <t>% of internet users</t>
        </is>
      </c>
      <c r="I41" s="13" t="inlineStr"/>
      <c r="J41" s="14" t="inlineStr">
        <is>
          <t>ES4</t>
        </is>
      </c>
      <c r="K41" s="13" t="inlineStr">
        <is>
          <t>2026-09-12</t>
        </is>
      </c>
      <c r="L41" s="15" t="inlineStr">
        <is>
          <t>Rose 36pp from 36% in 2014.</t>
        </is>
      </c>
    </row>
    <row r="42">
      <c r="A42" s="18" t="n">
        <v>41</v>
      </c>
      <c r="B42" s="19" t="inlineStr">
        <is>
          <t>BE.ECM.ENT.TRN</t>
        </is>
      </c>
      <c r="C42" s="20" t="inlineStr">
        <is>
          <t>E-sales as share of enterprise turnover</t>
        </is>
      </c>
      <c r="D42" s="18" t="inlineStr">
        <is>
          <t>BE</t>
        </is>
      </c>
      <c r="E42" s="18" t="n">
        <v>2024</v>
      </c>
      <c r="F42" s="22" t="n">
        <v>29.51</v>
      </c>
      <c r="G42" s="18" t="inlineStr">
        <is>
          <t>%</t>
        </is>
      </c>
      <c r="H42" s="20" t="inlineStr">
        <is>
          <t>% of total enterprise turnover</t>
        </is>
      </c>
      <c r="I42" s="18" t="inlineStr">
        <is>
          <t>u</t>
        </is>
      </c>
      <c r="J42" s="19" t="inlineStr">
        <is>
          <t>ES6</t>
        </is>
      </c>
      <c r="K42" s="18" t="inlineStr">
        <is>
          <t>2026-09-12</t>
        </is>
      </c>
      <c r="L42" s="20" t="inlineStr"/>
    </row>
    <row r="43">
      <c r="A43" s="18" t="n">
        <v>42</v>
      </c>
      <c r="B43" s="19" t="inlineStr">
        <is>
          <t>SE.ECM.ENT.TRN</t>
        </is>
      </c>
      <c r="C43" s="20" t="inlineStr">
        <is>
          <t>E-sales as share of enterprise turnover</t>
        </is>
      </c>
      <c r="D43" s="18" t="inlineStr">
        <is>
          <t>SE</t>
        </is>
      </c>
      <c r="E43" s="18" t="n">
        <v>2024</v>
      </c>
      <c r="F43" s="22" t="n">
        <v>26.32</v>
      </c>
      <c r="G43" s="18" t="inlineStr">
        <is>
          <t>%</t>
        </is>
      </c>
      <c r="H43" s="20" t="inlineStr">
        <is>
          <t>% of total enterprise turnover</t>
        </is>
      </c>
      <c r="I43" s="18" t="inlineStr">
        <is>
          <t>u</t>
        </is>
      </c>
      <c r="J43" s="19" t="inlineStr">
        <is>
          <t>ES6</t>
        </is>
      </c>
      <c r="K43" s="18" t="inlineStr">
        <is>
          <t>2026-09-12</t>
        </is>
      </c>
      <c r="L43" s="20" t="inlineStr"/>
    </row>
    <row r="44">
      <c r="A44" s="18" t="n">
        <v>43</v>
      </c>
      <c r="B44" s="19" t="inlineStr">
        <is>
          <t>CZ.ECM.ENT.TRN</t>
        </is>
      </c>
      <c r="C44" s="20" t="inlineStr">
        <is>
          <t>E-sales as share of enterprise turnover</t>
        </is>
      </c>
      <c r="D44" s="18" t="inlineStr">
        <is>
          <t>CZ</t>
        </is>
      </c>
      <c r="E44" s="18" t="n">
        <v>2024</v>
      </c>
      <c r="F44" s="22" t="n">
        <v>25.65</v>
      </c>
      <c r="G44" s="18" t="inlineStr">
        <is>
          <t>%</t>
        </is>
      </c>
      <c r="H44" s="20" t="inlineStr">
        <is>
          <t>% of total enterprise turnover</t>
        </is>
      </c>
      <c r="I44" s="18" t="inlineStr">
        <is>
          <t>u</t>
        </is>
      </c>
      <c r="J44" s="19" t="inlineStr">
        <is>
          <t>ES6</t>
        </is>
      </c>
      <c r="K44" s="18" t="inlineStr">
        <is>
          <t>2026-09-12</t>
        </is>
      </c>
      <c r="L44" s="20" t="inlineStr"/>
    </row>
    <row r="45">
      <c r="A45" s="18" t="n">
        <v>44</v>
      </c>
      <c r="B45" s="19" t="inlineStr">
        <is>
          <t>LU.ECM.ENT.TRN</t>
        </is>
      </c>
      <c r="C45" s="20" t="inlineStr">
        <is>
          <t>E-sales as share of enterprise turnover</t>
        </is>
      </c>
      <c r="D45" s="18" t="inlineStr">
        <is>
          <t>LU</t>
        </is>
      </c>
      <c r="E45" s="18" t="n">
        <v>2024</v>
      </c>
      <c r="F45" s="22" t="n">
        <v>23.86</v>
      </c>
      <c r="G45" s="18" t="inlineStr">
        <is>
          <t>%</t>
        </is>
      </c>
      <c r="H45" s="20" t="inlineStr">
        <is>
          <t>% of total enterprise turnover</t>
        </is>
      </c>
      <c r="I45" s="18" t="inlineStr">
        <is>
          <t>u</t>
        </is>
      </c>
      <c r="J45" s="19" t="inlineStr">
        <is>
          <t>ES6</t>
        </is>
      </c>
      <c r="K45" s="18" t="inlineStr">
        <is>
          <t>2026-09-12</t>
        </is>
      </c>
      <c r="L45" s="20" t="inlineStr"/>
    </row>
    <row r="46">
      <c r="A46" s="18" t="n">
        <v>45</v>
      </c>
      <c r="B46" s="19" t="inlineStr">
        <is>
          <t>HU.ECM.ENT.TRN</t>
        </is>
      </c>
      <c r="C46" s="20" t="inlineStr">
        <is>
          <t>E-sales as share of enterprise turnover</t>
        </is>
      </c>
      <c r="D46" s="18" t="inlineStr">
        <is>
          <t>HU</t>
        </is>
      </c>
      <c r="E46" s="18" t="n">
        <v>2024</v>
      </c>
      <c r="F46" s="22" t="n">
        <v>21.35</v>
      </c>
      <c r="G46" s="18" t="inlineStr">
        <is>
          <t>%</t>
        </is>
      </c>
      <c r="H46" s="20" t="inlineStr">
        <is>
          <t>% of total enterprise turnover</t>
        </is>
      </c>
      <c r="I46" s="18" t="inlineStr">
        <is>
          <t>u</t>
        </is>
      </c>
      <c r="J46" s="19" t="inlineStr">
        <is>
          <t>ES6</t>
        </is>
      </c>
      <c r="K46" s="18" t="inlineStr">
        <is>
          <t>2026-09-12</t>
        </is>
      </c>
      <c r="L46" s="20" t="inlineStr"/>
    </row>
    <row r="47">
      <c r="A47" s="18" t="n">
        <v>46</v>
      </c>
      <c r="B47" s="19" t="inlineStr">
        <is>
          <t>DE.ECM.ENT.TRN</t>
        </is>
      </c>
      <c r="C47" s="20" t="inlineStr">
        <is>
          <t>E-sales as share of enterprise turnover</t>
        </is>
      </c>
      <c r="D47" s="18" t="inlineStr">
        <is>
          <t>DE</t>
        </is>
      </c>
      <c r="E47" s="18" t="n">
        <v>2024</v>
      </c>
      <c r="F47" s="22" t="n">
        <v>19.05</v>
      </c>
      <c r="G47" s="18" t="inlineStr">
        <is>
          <t>%</t>
        </is>
      </c>
      <c r="H47" s="20" t="inlineStr">
        <is>
          <t>% of total enterprise turnover</t>
        </is>
      </c>
      <c r="I47" s="18" t="inlineStr">
        <is>
          <t>u</t>
        </is>
      </c>
      <c r="J47" s="19" t="inlineStr">
        <is>
          <t>ES6</t>
        </is>
      </c>
      <c r="K47" s="18" t="inlineStr">
        <is>
          <t>2026-09-12</t>
        </is>
      </c>
      <c r="L47" s="20" t="inlineStr"/>
    </row>
    <row r="48">
      <c r="A48" s="18" t="n">
        <v>47</v>
      </c>
      <c r="B48" s="19" t="inlineStr">
        <is>
          <t>AT.ECM.ENT.TRN</t>
        </is>
      </c>
      <c r="C48" s="20" t="inlineStr">
        <is>
          <t>E-sales as share of enterprise turnover</t>
        </is>
      </c>
      <c r="D48" s="18" t="inlineStr">
        <is>
          <t>AT</t>
        </is>
      </c>
      <c r="E48" s="18" t="n">
        <v>2024</v>
      </c>
      <c r="F48" s="22" t="n">
        <v>18.96</v>
      </c>
      <c r="G48" s="18" t="inlineStr">
        <is>
          <t>%</t>
        </is>
      </c>
      <c r="H48" s="20" t="inlineStr">
        <is>
          <t>% of total enterprise turnover</t>
        </is>
      </c>
      <c r="I48" s="18" t="inlineStr">
        <is>
          <t>u</t>
        </is>
      </c>
      <c r="J48" s="19" t="inlineStr">
        <is>
          <t>ES6</t>
        </is>
      </c>
      <c r="K48" s="18" t="inlineStr">
        <is>
          <t>2026-09-12</t>
        </is>
      </c>
      <c r="L48" s="20" t="inlineStr"/>
    </row>
    <row r="49">
      <c r="A49" s="18" t="n">
        <v>48</v>
      </c>
      <c r="B49" s="19" t="inlineStr">
        <is>
          <t>HR.ECM.ENT.TRN</t>
        </is>
      </c>
      <c r="C49" s="20" t="inlineStr">
        <is>
          <t>E-sales as share of enterprise turnover</t>
        </is>
      </c>
      <c r="D49" s="18" t="inlineStr">
        <is>
          <t>HR</t>
        </is>
      </c>
      <c r="E49" s="18" t="n">
        <v>2024</v>
      </c>
      <c r="F49" s="22" t="n">
        <v>18.48</v>
      </c>
      <c r="G49" s="18" t="inlineStr">
        <is>
          <t>%</t>
        </is>
      </c>
      <c r="H49" s="20" t="inlineStr">
        <is>
          <t>% of total enterprise turnover</t>
        </is>
      </c>
      <c r="I49" s="18" t="inlineStr">
        <is>
          <t>u</t>
        </is>
      </c>
      <c r="J49" s="19" t="inlineStr">
        <is>
          <t>ES6</t>
        </is>
      </c>
      <c r="K49" s="18" t="inlineStr">
        <is>
          <t>2026-09-12</t>
        </is>
      </c>
      <c r="L49" s="20" t="inlineStr"/>
    </row>
    <row r="50">
      <c r="A50" s="18" t="n">
        <v>49</v>
      </c>
      <c r="B50" s="19" t="inlineStr">
        <is>
          <t>ES.ECM.ENT.TRN</t>
        </is>
      </c>
      <c r="C50" s="20" t="inlineStr">
        <is>
          <t>E-sales as share of enterprise turnover</t>
        </is>
      </c>
      <c r="D50" s="18" t="inlineStr">
        <is>
          <t>ES</t>
        </is>
      </c>
      <c r="E50" s="18" t="n">
        <v>2024</v>
      </c>
      <c r="F50" s="22" t="n">
        <v>18.27</v>
      </c>
      <c r="G50" s="18" t="inlineStr">
        <is>
          <t>%</t>
        </is>
      </c>
      <c r="H50" s="20" t="inlineStr">
        <is>
          <t>% of total enterprise turnover</t>
        </is>
      </c>
      <c r="I50" s="18" t="inlineStr">
        <is>
          <t>u</t>
        </is>
      </c>
      <c r="J50" s="19" t="inlineStr">
        <is>
          <t>ES6</t>
        </is>
      </c>
      <c r="K50" s="18" t="inlineStr">
        <is>
          <t>2026-09-12</t>
        </is>
      </c>
      <c r="L50" s="20" t="inlineStr"/>
    </row>
    <row r="51">
      <c r="A51" s="18" t="n">
        <v>50</v>
      </c>
      <c r="B51" s="19" t="inlineStr">
        <is>
          <t>PL.ECM.ENT.TRN</t>
        </is>
      </c>
      <c r="C51" s="20" t="inlineStr">
        <is>
          <t>E-sales as share of enterprise turnover</t>
        </is>
      </c>
      <c r="D51" s="18" t="inlineStr">
        <is>
          <t>PL</t>
        </is>
      </c>
      <c r="E51" s="18" t="n">
        <v>2024</v>
      </c>
      <c r="F51" s="22" t="n">
        <v>17.66</v>
      </c>
      <c r="G51" s="18" t="inlineStr">
        <is>
          <t>%</t>
        </is>
      </c>
      <c r="H51" s="20" t="inlineStr">
        <is>
          <t>% of total enterprise turnover</t>
        </is>
      </c>
      <c r="I51" s="18" t="inlineStr">
        <is>
          <t>u</t>
        </is>
      </c>
      <c r="J51" s="19" t="inlineStr">
        <is>
          <t>ES6</t>
        </is>
      </c>
      <c r="K51" s="18" t="inlineStr">
        <is>
          <t>2026-09-12</t>
        </is>
      </c>
      <c r="L51" s="20" t="inlineStr"/>
    </row>
    <row r="52">
      <c r="A52" s="18" t="n">
        <v>51</v>
      </c>
      <c r="B52" s="19" t="inlineStr">
        <is>
          <t>SI.ECM.ENT.TRN</t>
        </is>
      </c>
      <c r="C52" s="20" t="inlineStr">
        <is>
          <t>E-sales as share of enterprise turnover</t>
        </is>
      </c>
      <c r="D52" s="18" t="inlineStr">
        <is>
          <t>SI</t>
        </is>
      </c>
      <c r="E52" s="18" t="n">
        <v>2024</v>
      </c>
      <c r="F52" s="22" t="n">
        <v>16.78</v>
      </c>
      <c r="G52" s="18" t="inlineStr">
        <is>
          <t>%</t>
        </is>
      </c>
      <c r="H52" s="20" t="inlineStr">
        <is>
          <t>% of total enterprise turnover</t>
        </is>
      </c>
      <c r="I52" s="18" t="inlineStr">
        <is>
          <t>u</t>
        </is>
      </c>
      <c r="J52" s="19" t="inlineStr">
        <is>
          <t>ES6</t>
        </is>
      </c>
      <c r="K52" s="18" t="inlineStr">
        <is>
          <t>2026-09-12</t>
        </is>
      </c>
      <c r="L52" s="20" t="inlineStr"/>
    </row>
    <row r="53">
      <c r="A53" s="18" t="n">
        <v>52</v>
      </c>
      <c r="B53" s="19" t="inlineStr">
        <is>
          <t>IT.ECM.ENT.TRN</t>
        </is>
      </c>
      <c r="C53" s="20" t="inlineStr">
        <is>
          <t>E-sales as share of enterprise turnover</t>
        </is>
      </c>
      <c r="D53" s="18" t="inlineStr">
        <is>
          <t>IT</t>
        </is>
      </c>
      <c r="E53" s="18" t="n">
        <v>2024</v>
      </c>
      <c r="F53" s="22" t="n">
        <v>15.66</v>
      </c>
      <c r="G53" s="18" t="inlineStr">
        <is>
          <t>%</t>
        </is>
      </c>
      <c r="H53" s="20" t="inlineStr">
        <is>
          <t>% of total enterprise turnover</t>
        </is>
      </c>
      <c r="I53" s="18" t="inlineStr">
        <is>
          <t>u</t>
        </is>
      </c>
      <c r="J53" s="19" t="inlineStr">
        <is>
          <t>ES6</t>
        </is>
      </c>
      <c r="K53" s="18" t="inlineStr">
        <is>
          <t>2026-09-12</t>
        </is>
      </c>
      <c r="L53" s="20" t="inlineStr"/>
    </row>
    <row r="54">
      <c r="A54" s="18" t="n">
        <v>53</v>
      </c>
      <c r="B54" s="19" t="inlineStr">
        <is>
          <t>MT.ECM.ENT.TRN</t>
        </is>
      </c>
      <c r="C54" s="20" t="inlineStr">
        <is>
          <t>E-sales as share of enterprise turnover</t>
        </is>
      </c>
      <c r="D54" s="18" t="inlineStr">
        <is>
          <t>MT</t>
        </is>
      </c>
      <c r="E54" s="18" t="n">
        <v>2024</v>
      </c>
      <c r="F54" s="22" t="n">
        <v>15.46</v>
      </c>
      <c r="G54" s="18" t="inlineStr">
        <is>
          <t>%</t>
        </is>
      </c>
      <c r="H54" s="20" t="inlineStr">
        <is>
          <t>% of total enterprise turnover</t>
        </is>
      </c>
      <c r="I54" s="18" t="inlineStr">
        <is>
          <t>u</t>
        </is>
      </c>
      <c r="J54" s="19" t="inlineStr">
        <is>
          <t>ES6</t>
        </is>
      </c>
      <c r="K54" s="18" t="inlineStr">
        <is>
          <t>2026-09-12</t>
        </is>
      </c>
      <c r="L54" s="20" t="inlineStr"/>
    </row>
    <row r="55">
      <c r="A55" s="18" t="n">
        <v>54</v>
      </c>
      <c r="B55" s="19" t="inlineStr">
        <is>
          <t>FR.ECM.ENT.TRN</t>
        </is>
      </c>
      <c r="C55" s="20" t="inlineStr">
        <is>
          <t>E-sales as share of enterprise turnover</t>
        </is>
      </c>
      <c r="D55" s="18" t="inlineStr">
        <is>
          <t>FR</t>
        </is>
      </c>
      <c r="E55" s="18" t="n">
        <v>2024</v>
      </c>
      <c r="F55" s="22" t="n">
        <v>14.25</v>
      </c>
      <c r="G55" s="18" t="inlineStr">
        <is>
          <t>%</t>
        </is>
      </c>
      <c r="H55" s="20" t="inlineStr">
        <is>
          <t>% of total enterprise turnover</t>
        </is>
      </c>
      <c r="I55" s="18" t="inlineStr">
        <is>
          <t>u</t>
        </is>
      </c>
      <c r="J55" s="19" t="inlineStr">
        <is>
          <t>ES6</t>
        </is>
      </c>
      <c r="K55" s="18" t="inlineStr">
        <is>
          <t>2026-09-12</t>
        </is>
      </c>
      <c r="L55" s="20" t="inlineStr"/>
    </row>
    <row r="56">
      <c r="A56" s="18" t="n">
        <v>55</v>
      </c>
      <c r="B56" s="19" t="inlineStr">
        <is>
          <t>CY.ECM.ENT.TRN</t>
        </is>
      </c>
      <c r="C56" s="20" t="inlineStr">
        <is>
          <t>E-sales as share of enterprise turnover</t>
        </is>
      </c>
      <c r="D56" s="18" t="inlineStr">
        <is>
          <t>CY</t>
        </is>
      </c>
      <c r="E56" s="18" t="n">
        <v>2024</v>
      </c>
      <c r="F56" s="22" t="n">
        <v>13.36</v>
      </c>
      <c r="G56" s="18" t="inlineStr">
        <is>
          <t>%</t>
        </is>
      </c>
      <c r="H56" s="20" t="inlineStr">
        <is>
          <t>% of total enterprise turnover</t>
        </is>
      </c>
      <c r="I56" s="18" t="inlineStr">
        <is>
          <t>u</t>
        </is>
      </c>
      <c r="J56" s="19" t="inlineStr">
        <is>
          <t>ES6</t>
        </is>
      </c>
      <c r="K56" s="18" t="inlineStr">
        <is>
          <t>2026-09-12</t>
        </is>
      </c>
      <c r="L56" s="20" t="inlineStr"/>
    </row>
    <row r="57">
      <c r="A57" s="18" t="n">
        <v>56</v>
      </c>
      <c r="B57" s="19" t="inlineStr">
        <is>
          <t>BG.ECM.ENT.TRN</t>
        </is>
      </c>
      <c r="C57" s="20" t="inlineStr">
        <is>
          <t>E-sales as share of enterprise turnover</t>
        </is>
      </c>
      <c r="D57" s="18" t="inlineStr">
        <is>
          <t>BG</t>
        </is>
      </c>
      <c r="E57" s="18" t="n">
        <v>2024</v>
      </c>
      <c r="F57" s="22" t="n">
        <v>7.63</v>
      </c>
      <c r="G57" s="18" t="inlineStr">
        <is>
          <t>%</t>
        </is>
      </c>
      <c r="H57" s="20" t="inlineStr">
        <is>
          <t>% of total enterprise turnover</t>
        </is>
      </c>
      <c r="I57" s="18" t="inlineStr">
        <is>
          <t>u</t>
        </is>
      </c>
      <c r="J57" s="19" t="inlineStr">
        <is>
          <t>ES6</t>
        </is>
      </c>
      <c r="K57" s="18" t="inlineStr">
        <is>
          <t>2026-09-12</t>
        </is>
      </c>
      <c r="L57" s="20" t="inlineStr"/>
    </row>
    <row r="58">
      <c r="A58" s="13" t="n">
        <v>57</v>
      </c>
      <c r="B58" s="14" t="inlineStr">
        <is>
          <t>DK.ECM.ENT.SHR</t>
        </is>
      </c>
      <c r="C58" s="15" t="inlineStr">
        <is>
          <t>Enterprises making e-sales</t>
        </is>
      </c>
      <c r="D58" s="13" t="inlineStr">
        <is>
          <t>DK</t>
        </is>
      </c>
      <c r="E58" s="13" t="n">
        <v>2024</v>
      </c>
      <c r="F58" s="16" t="n">
        <v>38.78</v>
      </c>
      <c r="G58" s="13" t="inlineStr">
        <is>
          <t>%</t>
        </is>
      </c>
      <c r="H58" s="15" t="inlineStr">
        <is>
          <t>% of enterprises</t>
        </is>
      </c>
      <c r="I58" s="13" t="inlineStr"/>
      <c r="J58" s="14" t="inlineStr">
        <is>
          <t>ES5</t>
        </is>
      </c>
      <c r="K58" s="13" t="inlineStr">
        <is>
          <t>2026-09-12</t>
        </is>
      </c>
      <c r="L58" s="15" t="inlineStr">
        <is>
          <t>2nd in EU after Lithuania.</t>
        </is>
      </c>
    </row>
    <row r="59">
      <c r="A59" s="13" t="n">
        <v>58</v>
      </c>
      <c r="B59" s="14" t="inlineStr">
        <is>
          <t>LT.ECM.ENT.SHR</t>
        </is>
      </c>
      <c r="C59" s="15" t="inlineStr">
        <is>
          <t>Enterprises making e-sales</t>
        </is>
      </c>
      <c r="D59" s="13" t="inlineStr">
        <is>
          <t>LT</t>
        </is>
      </c>
      <c r="E59" s="13" t="n">
        <v>2024</v>
      </c>
      <c r="F59" s="16" t="n">
        <v>43.03</v>
      </c>
      <c r="G59" s="13" t="inlineStr">
        <is>
          <t>%</t>
        </is>
      </c>
      <c r="H59" s="15" t="inlineStr">
        <is>
          <t>% of enterprises</t>
        </is>
      </c>
      <c r="I59" s="13" t="inlineStr"/>
      <c r="J59" s="14" t="inlineStr">
        <is>
          <t>ES5</t>
        </is>
      </c>
      <c r="K59" s="13" t="inlineStr">
        <is>
          <t>2026-09-12</t>
        </is>
      </c>
      <c r="L59" s="15" t="inlineStr">
        <is>
          <t>Highest in EU.</t>
        </is>
      </c>
    </row>
    <row r="60">
      <c r="A60" s="13" t="n">
        <v>59</v>
      </c>
      <c r="B60" s="14" t="inlineStr">
        <is>
          <t>DK.DGP.EXMP</t>
        </is>
      </c>
      <c r="C60" s="15" t="inlineStr">
        <is>
          <t>Citizens formally exempt from Digital Post</t>
        </is>
      </c>
      <c r="D60" s="13" t="inlineStr">
        <is>
          <t>DK</t>
        </is>
      </c>
      <c r="E60" s="13" t="n">
        <v>2025</v>
      </c>
      <c r="F60" s="16" t="n">
        <v>5</v>
      </c>
      <c r="G60" s="13" t="inlineStr">
        <is>
          <t>%</t>
        </is>
      </c>
      <c r="H60" s="15" t="inlineStr">
        <is>
          <t>% of citizens aged 15+ resident in Denmark</t>
        </is>
      </c>
      <c r="I60" s="13" t="inlineStr"/>
      <c r="J60" s="14" t="inlineStr">
        <is>
          <t>DG1</t>
        </is>
      </c>
      <c r="K60" s="13" t="inlineStr">
        <is>
          <t>2026-09-12</t>
        </is>
      </c>
      <c r="L60" s="15" t="inlineStr">
        <is>
          <t>April 2025; approx. 256,000 citizens.</t>
        </is>
      </c>
    </row>
    <row r="61">
      <c r="A61" s="13" t="n">
        <v>60</v>
      </c>
      <c r="B61" s="14" t="inlineStr">
        <is>
          <t>DK.DGP.EXMP</t>
        </is>
      </c>
      <c r="C61" s="15" t="inlineStr">
        <is>
          <t>Citizens formally exempt from Digital Post</t>
        </is>
      </c>
      <c r="D61" s="13" t="inlineStr">
        <is>
          <t>DK</t>
        </is>
      </c>
      <c r="E61" s="13" t="n">
        <v>2026</v>
      </c>
      <c r="F61" s="16" t="n">
        <v>4.7</v>
      </c>
      <c r="G61" s="13" t="inlineStr">
        <is>
          <t>%</t>
        </is>
      </c>
      <c r="H61" s="15" t="inlineStr">
        <is>
          <t>% of citizens aged 15+ resident in Denmark</t>
        </is>
      </c>
      <c r="I61" s="13" t="inlineStr"/>
      <c r="J61" s="14" t="inlineStr">
        <is>
          <t>DG1</t>
        </is>
      </c>
      <c r="K61" s="13" t="inlineStr">
        <is>
          <t>2026-09-12</t>
        </is>
      </c>
      <c r="L61" s="15" t="inlineStr">
        <is>
          <t>Q1 2026; 238,479 citizens. 95.2% enrolled.</t>
        </is>
      </c>
    </row>
    <row r="62">
      <c r="A62" s="18" t="n">
        <v>61</v>
      </c>
      <c r="B62" s="19" t="inlineStr">
        <is>
          <t>DK.DGP.EXMP.7584</t>
        </is>
      </c>
      <c r="C62" s="20" t="inlineStr">
        <is>
          <t>Exemption rate, age 75-84</t>
        </is>
      </c>
      <c r="D62" s="18" t="inlineStr">
        <is>
          <t>DK</t>
        </is>
      </c>
      <c r="E62" s="18" t="n">
        <v>2022</v>
      </c>
      <c r="F62" s="22" t="n">
        <v>20</v>
      </c>
      <c r="G62" s="18" t="inlineStr">
        <is>
          <t>%</t>
        </is>
      </c>
      <c r="H62" s="20" t="inlineStr">
        <is>
          <t>% of age group</t>
        </is>
      </c>
      <c r="I62" s="18" t="inlineStr">
        <is>
          <t>e</t>
        </is>
      </c>
      <c r="J62" s="19" t="inlineStr">
        <is>
          <t>DG1</t>
        </is>
      </c>
      <c r="K62" s="18" t="inlineStr">
        <is>
          <t>2026-09-12</t>
        </is>
      </c>
      <c r="L62" s="20" t="inlineStr">
        <is>
          <t>Source states 'nearly one in five'.</t>
        </is>
      </c>
    </row>
    <row r="63">
      <c r="A63" s="18" t="n">
        <v>62</v>
      </c>
      <c r="B63" s="19" t="inlineStr">
        <is>
          <t>DK.DGP.EXMP.85P</t>
        </is>
      </c>
      <c r="C63" s="20" t="inlineStr">
        <is>
          <t>Exemption rate, age 85+</t>
        </is>
      </c>
      <c r="D63" s="18" t="inlineStr">
        <is>
          <t>DK</t>
        </is>
      </c>
      <c r="E63" s="18" t="n">
        <v>2022</v>
      </c>
      <c r="F63" s="22" t="n">
        <v>33</v>
      </c>
      <c r="G63" s="18" t="inlineStr">
        <is>
          <t>%</t>
        </is>
      </c>
      <c r="H63" s="20" t="inlineStr">
        <is>
          <t>% of age group</t>
        </is>
      </c>
      <c r="I63" s="18" t="inlineStr">
        <is>
          <t>e</t>
        </is>
      </c>
      <c r="J63" s="19" t="inlineStr">
        <is>
          <t>DG1</t>
        </is>
      </c>
      <c r="K63" s="18" t="inlineStr">
        <is>
          <t>2026-09-12</t>
        </is>
      </c>
      <c r="L63" s="20" t="inlineStr">
        <is>
          <t>Source states 'roughly one in three'.</t>
        </is>
      </c>
    </row>
    <row r="64">
      <c r="A64" s="13" t="n">
        <v>63</v>
      </c>
      <c r="B64" s="14" t="inlineStr">
        <is>
          <t>DK.DGX.NOUSE</t>
        </is>
      </c>
      <c r="C64" s="15" t="inlineStr">
        <is>
          <t>Do not use digital public services at all</t>
        </is>
      </c>
      <c r="D64" s="13" t="inlineStr">
        <is>
          <t>DK</t>
        </is>
      </c>
      <c r="E64" s="13" t="n">
        <v>2026</v>
      </c>
      <c r="F64" s="16" t="n">
        <v>6.5</v>
      </c>
      <c r="G64" s="13" t="inlineStr">
        <is>
          <t>%</t>
        </is>
      </c>
      <c r="H64" s="15" t="inlineStr">
        <is>
          <t>% of population</t>
        </is>
      </c>
      <c r="I64" s="13" t="inlineStr"/>
      <c r="J64" s="14" t="inlineStr">
        <is>
          <t>EC1</t>
        </is>
      </c>
      <c r="K64" s="13" t="inlineStr">
        <is>
          <t>2026-09-12</t>
        </is>
      </c>
      <c r="L64" s="15" t="inlineStr">
        <is>
          <t>Agency for Digital Government estimate.</t>
        </is>
      </c>
    </row>
    <row r="65">
      <c r="A65" s="13" t="n">
        <v>64</v>
      </c>
      <c r="B65" s="14" t="inlineStr">
        <is>
          <t>DK.DGX.DIFF</t>
        </is>
      </c>
      <c r="C65" s="15" t="inlineStr">
        <is>
          <t>Face difficulties using digital public services</t>
        </is>
      </c>
      <c r="D65" s="13" t="inlineStr">
        <is>
          <t>DK</t>
        </is>
      </c>
      <c r="E65" s="13" t="n">
        <v>2026</v>
      </c>
      <c r="F65" s="16" t="n">
        <v>16.5</v>
      </c>
      <c r="G65" s="13" t="inlineStr">
        <is>
          <t>%</t>
        </is>
      </c>
      <c r="H65" s="15" t="inlineStr">
        <is>
          <t>% of population</t>
        </is>
      </c>
      <c r="I65" s="13" t="inlineStr"/>
      <c r="J65" s="14" t="inlineStr">
        <is>
          <t>EC1</t>
        </is>
      </c>
      <c r="K65" s="13" t="inlineStr">
        <is>
          <t>2026-09-12</t>
        </is>
      </c>
      <c r="L65" s="15" t="inlineStr">
        <is>
          <t>Agency for Digital Government estimate.</t>
        </is>
      </c>
    </row>
    <row r="66">
      <c r="A66" s="18" t="n">
        <v>65</v>
      </c>
      <c r="B66" s="19" t="inlineStr">
        <is>
          <t>DK.DGX.DISADV.LO</t>
        </is>
      </c>
      <c r="C66" s="20" t="inlineStr">
        <is>
          <t>'Digitally disadvantaged' - lower bound</t>
        </is>
      </c>
      <c r="D66" s="18" t="inlineStr">
        <is>
          <t>DK</t>
        </is>
      </c>
      <c r="E66" s="18" t="n">
        <v>2025</v>
      </c>
      <c r="F66" s="22" t="n">
        <v>17</v>
      </c>
      <c r="G66" s="18" t="inlineStr">
        <is>
          <t>%</t>
        </is>
      </c>
      <c r="H66" s="20" t="inlineStr">
        <is>
          <t>% of adult population</t>
        </is>
      </c>
      <c r="I66" s="18" t="inlineStr">
        <is>
          <t>e</t>
        </is>
      </c>
      <c r="J66" s="19" t="inlineStr">
        <is>
          <t>DG2</t>
        </is>
      </c>
      <c r="K66" s="18" t="inlineStr">
        <is>
          <t>2026-09-12</t>
        </is>
      </c>
      <c r="L66" s="20" t="inlineStr">
        <is>
          <t>Published as a 17-22% range.</t>
        </is>
      </c>
    </row>
    <row r="67">
      <c r="A67" s="18" t="n">
        <v>66</v>
      </c>
      <c r="B67" s="19" t="inlineStr">
        <is>
          <t>DK.DGX.DISADV.HI</t>
        </is>
      </c>
      <c r="C67" s="20" t="inlineStr">
        <is>
          <t>'Digitally disadvantaged' - upper bound</t>
        </is>
      </c>
      <c r="D67" s="18" t="inlineStr">
        <is>
          <t>DK</t>
        </is>
      </c>
      <c r="E67" s="18" t="n">
        <v>2025</v>
      </c>
      <c r="F67" s="22" t="n">
        <v>22</v>
      </c>
      <c r="G67" s="18" t="inlineStr">
        <is>
          <t>%</t>
        </is>
      </c>
      <c r="H67" s="20" t="inlineStr">
        <is>
          <t>% of adult population</t>
        </is>
      </c>
      <c r="I67" s="18" t="inlineStr">
        <is>
          <t>e</t>
        </is>
      </c>
      <c r="J67" s="19" t="inlineStr">
        <is>
          <t>DG2</t>
        </is>
      </c>
      <c r="K67" s="18" t="inlineStr">
        <is>
          <t>2026-09-12</t>
        </is>
      </c>
      <c r="L67" s="20" t="inlineStr">
        <is>
          <t>Published as a 17-22% range.</t>
        </is>
      </c>
    </row>
    <row r="68">
      <c r="A68" s="18" t="n">
        <v>67</v>
      </c>
      <c r="B68" s="19" t="inlineStr">
        <is>
          <t>DK.DGX.JUST</t>
        </is>
      </c>
      <c r="C68" s="20" t="inlineStr">
        <is>
          <t>'Digitally disadvantaged' - Justitia estimate</t>
        </is>
      </c>
      <c r="D68" s="18" t="inlineStr">
        <is>
          <t>DK</t>
        </is>
      </c>
      <c r="E68" s="18" t="n">
        <v>2022</v>
      </c>
      <c r="F68" s="22" t="n">
        <v>25</v>
      </c>
      <c r="G68" s="18" t="inlineStr">
        <is>
          <t>%</t>
        </is>
      </c>
      <c r="H68" s="20" t="inlineStr">
        <is>
          <t>% of adult population</t>
        </is>
      </c>
      <c r="I68" s="18" t="inlineStr">
        <is>
          <t>e</t>
        </is>
      </c>
      <c r="J68" s="19" t="inlineStr">
        <is>
          <t>JU1</t>
        </is>
      </c>
      <c r="K68" s="18" t="inlineStr">
        <is>
          <t>2026-09-12</t>
        </is>
      </c>
      <c r="L68" s="20" t="inlineStr">
        <is>
          <t>Report states 'up to a quarter of the adult population'.</t>
        </is>
      </c>
    </row>
    <row r="69">
      <c r="A69" s="13" t="n">
        <v>68</v>
      </c>
      <c r="B69" s="14" t="inlineStr">
        <is>
          <t>DK.TRU.DPS</t>
        </is>
      </c>
      <c r="C69" s="15" t="inlineStr">
        <is>
          <t>Trust in digital public solutions</t>
        </is>
      </c>
      <c r="D69" s="13" t="inlineStr">
        <is>
          <t>DK</t>
        </is>
      </c>
      <c r="E69" s="13" t="n">
        <v>2024</v>
      </c>
      <c r="F69" s="16" t="n">
        <v>82</v>
      </c>
      <c r="G69" s="13" t="inlineStr">
        <is>
          <t>%</t>
        </is>
      </c>
      <c r="H69" s="15" t="inlineStr">
        <is>
          <t>% of population</t>
        </is>
      </c>
      <c r="I69" s="13" t="inlineStr"/>
      <c r="J69" s="14" t="inlineStr">
        <is>
          <t>EC1</t>
        </is>
      </c>
      <c r="K69" s="13" t="inlineStr">
        <is>
          <t>2026-09-12</t>
        </is>
      </c>
      <c r="L69" s="15" t="inlineStr"/>
    </row>
    <row r="70">
      <c r="A70" s="13" t="n">
        <v>69</v>
      </c>
      <c r="B70" s="14" t="inlineStr">
        <is>
          <t>DK.TRU.DPS</t>
        </is>
      </c>
      <c r="C70" s="15" t="inlineStr">
        <is>
          <t>Trust in digital public solutions</t>
        </is>
      </c>
      <c r="D70" s="13" t="inlineStr">
        <is>
          <t>DK</t>
        </is>
      </c>
      <c r="E70" s="13" t="n">
        <v>2025</v>
      </c>
      <c r="F70" s="16" t="n">
        <v>84</v>
      </c>
      <c r="G70" s="13" t="inlineStr">
        <is>
          <t>%</t>
        </is>
      </c>
      <c r="H70" s="15" t="inlineStr">
        <is>
          <t>% of population</t>
        </is>
      </c>
      <c r="I70" s="13" t="inlineStr"/>
      <c r="J70" s="14" t="inlineStr">
        <is>
          <t>EC1</t>
        </is>
      </c>
      <c r="K70" s="13" t="inlineStr">
        <is>
          <t>2026-09-12</t>
        </is>
      </c>
      <c r="L70" s="15" t="inlineStr">
        <is>
          <t>Record high.</t>
        </is>
      </c>
    </row>
    <row r="71">
      <c r="A71" s="13" t="n">
        <v>70</v>
      </c>
      <c r="B71" s="14" t="inlineStr">
        <is>
          <t>DK.TRU.DGP.SEC</t>
        </is>
      </c>
      <c r="C71" s="15" t="inlineStr">
        <is>
          <t>Perceived security of Digital Post</t>
        </is>
      </c>
      <c r="D71" s="13" t="inlineStr">
        <is>
          <t>DK</t>
        </is>
      </c>
      <c r="E71" s="13" t="n">
        <v>2017</v>
      </c>
      <c r="F71" s="16" t="n">
        <v>77</v>
      </c>
      <c r="G71" s="13" t="inlineStr">
        <is>
          <t>%</t>
        </is>
      </c>
      <c r="H71" s="15" t="inlineStr">
        <is>
          <t>% of population</t>
        </is>
      </c>
      <c r="I71" s="13" t="inlineStr"/>
      <c r="J71" s="14" t="inlineStr">
        <is>
          <t>EC1</t>
        </is>
      </c>
      <c r="K71" s="13" t="inlineStr">
        <is>
          <t>2026-09-12</t>
        </is>
      </c>
      <c r="L71" s="15" t="inlineStr"/>
    </row>
    <row r="72">
      <c r="A72" s="13" t="n">
        <v>71</v>
      </c>
      <c r="B72" s="14" t="inlineStr">
        <is>
          <t>DK.TRU.DGP.SEC</t>
        </is>
      </c>
      <c r="C72" s="15" t="inlineStr">
        <is>
          <t>Perceived security of Digital Post</t>
        </is>
      </c>
      <c r="D72" s="13" t="inlineStr">
        <is>
          <t>DK</t>
        </is>
      </c>
      <c r="E72" s="13" t="n">
        <v>2025</v>
      </c>
      <c r="F72" s="16" t="n">
        <v>89</v>
      </c>
      <c r="G72" s="13" t="inlineStr">
        <is>
          <t>%</t>
        </is>
      </c>
      <c r="H72" s="15" t="inlineStr">
        <is>
          <t>% of population</t>
        </is>
      </c>
      <c r="I72" s="13" t="inlineStr"/>
      <c r="J72" s="14" t="inlineStr">
        <is>
          <t>EC1</t>
        </is>
      </c>
      <c r="K72" s="13" t="inlineStr">
        <is>
          <t>2026-09-12</t>
        </is>
      </c>
      <c r="L72" s="15" t="inlineStr"/>
    </row>
    <row r="73">
      <c r="A73" s="13" t="n">
        <v>72</v>
      </c>
      <c r="B73" s="14" t="inlineStr">
        <is>
          <t>DK.SKL.1624</t>
        </is>
      </c>
      <c r="C73" s="15" t="inlineStr">
        <is>
          <t>At least basic digital skills, age 16-24</t>
        </is>
      </c>
      <c r="D73" s="13" t="inlineStr">
        <is>
          <t>DK</t>
        </is>
      </c>
      <c r="E73" s="13" t="n">
        <v>2025</v>
      </c>
      <c r="F73" s="16" t="n">
        <v>92.06</v>
      </c>
      <c r="G73" s="13" t="inlineStr">
        <is>
          <t>%</t>
        </is>
      </c>
      <c r="H73" s="15" t="inlineStr">
        <is>
          <t>% of age group</t>
        </is>
      </c>
      <c r="I73" s="13" t="inlineStr"/>
      <c r="J73" s="14" t="inlineStr">
        <is>
          <t>EC1</t>
        </is>
      </c>
      <c r="K73" s="13" t="inlineStr">
        <is>
          <t>2026-09-12</t>
        </is>
      </c>
      <c r="L73" s="15" t="inlineStr">
        <is>
          <t>EU average 74.55%.</t>
        </is>
      </c>
    </row>
    <row r="74">
      <c r="A74" s="13" t="n">
        <v>73</v>
      </c>
      <c r="B74" s="14" t="inlineStr">
        <is>
          <t>DK.SKL.2554</t>
        </is>
      </c>
      <c r="C74" s="15" t="inlineStr">
        <is>
          <t>At least basic digital skills, age 25-54</t>
        </is>
      </c>
      <c r="D74" s="13" t="inlineStr">
        <is>
          <t>DK</t>
        </is>
      </c>
      <c r="E74" s="13" t="n">
        <v>2025</v>
      </c>
      <c r="F74" s="16" t="n">
        <v>86.89</v>
      </c>
      <c r="G74" s="13" t="inlineStr">
        <is>
          <t>%</t>
        </is>
      </c>
      <c r="H74" s="15" t="inlineStr">
        <is>
          <t>% of age group</t>
        </is>
      </c>
      <c r="I74" s="13" t="inlineStr"/>
      <c r="J74" s="14" t="inlineStr">
        <is>
          <t>EC1</t>
        </is>
      </c>
      <c r="K74" s="13" t="inlineStr">
        <is>
          <t>2026-09-12</t>
        </is>
      </c>
      <c r="L74" s="15" t="inlineStr">
        <is>
          <t>EU average 68.57%.</t>
        </is>
      </c>
    </row>
    <row r="75">
      <c r="A75" s="13" t="n">
        <v>74</v>
      </c>
      <c r="B75" s="14" t="inlineStr">
        <is>
          <t>DK.SKL.5574</t>
        </is>
      </c>
      <c r="C75" s="15" t="inlineStr">
        <is>
          <t>At least basic digital skills, age 55-74</t>
        </is>
      </c>
      <c r="D75" s="13" t="inlineStr">
        <is>
          <t>DK</t>
        </is>
      </c>
      <c r="E75" s="13" t="n">
        <v>2025</v>
      </c>
      <c r="F75" s="16" t="n">
        <v>67.81</v>
      </c>
      <c r="G75" s="13" t="inlineStr">
        <is>
          <t>%</t>
        </is>
      </c>
      <c r="H75" s="15" t="inlineStr">
        <is>
          <t>% of age group</t>
        </is>
      </c>
      <c r="I75" s="13" t="inlineStr"/>
      <c r="J75" s="14" t="inlineStr">
        <is>
          <t>EC1</t>
        </is>
      </c>
      <c r="K75" s="13" t="inlineStr">
        <is>
          <t>2026-09-12</t>
        </is>
      </c>
      <c r="L75" s="15" t="inlineStr">
        <is>
          <t>EU average 42.60%.</t>
        </is>
      </c>
    </row>
    <row r="76">
      <c r="A76" s="13" t="n">
        <v>75</v>
      </c>
      <c r="B76" s="14" t="inlineStr">
        <is>
          <t>DK.ENT.DII</t>
        </is>
      </c>
      <c r="C76" s="15" t="inlineStr">
        <is>
          <t>SMEs with at least basic digital intensity</t>
        </is>
      </c>
      <c r="D76" s="13" t="inlineStr">
        <is>
          <t>DK</t>
        </is>
      </c>
      <c r="E76" s="13" t="n">
        <v>2025</v>
      </c>
      <c r="F76" s="16" t="n">
        <v>92.45</v>
      </c>
      <c r="G76" s="13" t="inlineStr">
        <is>
          <t>%</t>
        </is>
      </c>
      <c r="H76" s="15" t="inlineStr">
        <is>
          <t>% of SMEs</t>
        </is>
      </c>
      <c r="I76" s="13" t="inlineStr"/>
      <c r="J76" s="14" t="inlineStr">
        <is>
          <t>EC1</t>
        </is>
      </c>
      <c r="K76" s="13" t="inlineStr">
        <is>
          <t>2026-09-12</t>
        </is>
      </c>
      <c r="L76" s="15" t="inlineStr">
        <is>
          <t>EU average 71.39%.</t>
        </is>
      </c>
    </row>
    <row r="77">
      <c r="A77" s="13" t="n">
        <v>76</v>
      </c>
      <c r="B77" s="14" t="inlineStr">
        <is>
          <t>EU.ENT.DII</t>
        </is>
      </c>
      <c r="C77" s="15" t="inlineStr">
        <is>
          <t>SMEs with at least basic digital intensity</t>
        </is>
      </c>
      <c r="D77" s="13" t="inlineStr">
        <is>
          <t>EU27</t>
        </is>
      </c>
      <c r="E77" s="13" t="n">
        <v>2025</v>
      </c>
      <c r="F77" s="16" t="n">
        <v>71.39</v>
      </c>
      <c r="G77" s="13" t="inlineStr">
        <is>
          <t>%</t>
        </is>
      </c>
      <c r="H77" s="15" t="inlineStr">
        <is>
          <t>% of SMEs</t>
        </is>
      </c>
      <c r="I77" s="13" t="inlineStr"/>
      <c r="J77" s="14" t="inlineStr">
        <is>
          <t>EC1</t>
        </is>
      </c>
      <c r="K77" s="13" t="inlineStr">
        <is>
          <t>2026-09-12</t>
        </is>
      </c>
      <c r="L77" s="15" t="inlineStr"/>
    </row>
    <row r="78">
      <c r="A78" s="13" t="n">
        <v>77</v>
      </c>
      <c r="B78" s="14" t="inlineStr">
        <is>
          <t>DK.ENT.AI</t>
        </is>
      </c>
      <c r="C78" s="15" t="inlineStr">
        <is>
          <t>Enterprises adopting AI</t>
        </is>
      </c>
      <c r="D78" s="13" t="inlineStr">
        <is>
          <t>DK</t>
        </is>
      </c>
      <c r="E78" s="13" t="n">
        <v>2025</v>
      </c>
      <c r="F78" s="16" t="n">
        <v>42.03</v>
      </c>
      <c r="G78" s="13" t="inlineStr">
        <is>
          <t>%</t>
        </is>
      </c>
      <c r="H78" s="15" t="inlineStr">
        <is>
          <t>% of enterprises</t>
        </is>
      </c>
      <c r="I78" s="13" t="inlineStr"/>
      <c r="J78" s="14" t="inlineStr">
        <is>
          <t>EC1</t>
        </is>
      </c>
      <c r="K78" s="13" t="inlineStr">
        <is>
          <t>2026-09-12</t>
        </is>
      </c>
      <c r="L78" s="15" t="inlineStr">
        <is>
          <t>EU average 19.95%.</t>
        </is>
      </c>
    </row>
    <row r="79">
      <c r="A79" s="13" t="n">
        <v>78</v>
      </c>
      <c r="B79" s="14" t="inlineStr">
        <is>
          <t>DK.ENT.AI.LRG</t>
        </is>
      </c>
      <c r="C79" s="15" t="inlineStr">
        <is>
          <t>Large enterprises adopting AI</t>
        </is>
      </c>
      <c r="D79" s="13" t="inlineStr">
        <is>
          <t>DK</t>
        </is>
      </c>
      <c r="E79" s="13" t="n">
        <v>2025</v>
      </c>
      <c r="F79" s="16" t="n">
        <v>74.52</v>
      </c>
      <c r="G79" s="13" t="inlineStr">
        <is>
          <t>%</t>
        </is>
      </c>
      <c r="H79" s="15" t="inlineStr">
        <is>
          <t>% of large enterprises (250+)</t>
        </is>
      </c>
      <c r="I79" s="13" t="inlineStr"/>
      <c r="J79" s="14" t="inlineStr">
        <is>
          <t>EC1</t>
        </is>
      </c>
      <c r="K79" s="13" t="inlineStr">
        <is>
          <t>2026-09-12</t>
        </is>
      </c>
      <c r="L79" s="15" t="inlineStr"/>
    </row>
    <row r="80">
      <c r="A80" s="13" t="n">
        <v>79</v>
      </c>
      <c r="B80" s="14" t="inlineStr">
        <is>
          <t>DK.ENT.AI.SME</t>
        </is>
      </c>
      <c r="C80" s="15" t="inlineStr">
        <is>
          <t>SMEs adopting AI</t>
        </is>
      </c>
      <c r="D80" s="13" t="inlineStr">
        <is>
          <t>DK</t>
        </is>
      </c>
      <c r="E80" s="13" t="n">
        <v>2025</v>
      </c>
      <c r="F80" s="16" t="n">
        <v>40.99</v>
      </c>
      <c r="G80" s="13" t="inlineStr">
        <is>
          <t>%</t>
        </is>
      </c>
      <c r="H80" s="15" t="inlineStr">
        <is>
          <t>% of SMEs (10-249)</t>
        </is>
      </c>
      <c r="I80" s="13" t="inlineStr"/>
      <c r="J80" s="14" t="inlineStr">
        <is>
          <t>EC1</t>
        </is>
      </c>
      <c r="K80" s="13" t="inlineStr">
        <is>
          <t>2026-09-12</t>
        </is>
      </c>
      <c r="L80" s="15" t="inlineStr"/>
    </row>
    <row r="81">
      <c r="A81" s="13" t="n">
        <v>80</v>
      </c>
      <c r="B81" s="14" t="inlineStr">
        <is>
          <t>DK.GOV.DPS.CIT</t>
        </is>
      </c>
      <c r="C81" s="15" t="inlineStr">
        <is>
          <t>Digital public services for citizens (score)</t>
        </is>
      </c>
      <c r="D81" s="13" t="inlineStr">
        <is>
          <t>DK</t>
        </is>
      </c>
      <c r="E81" s="13" t="n">
        <v>2025</v>
      </c>
      <c r="F81" s="16" t="n">
        <v>82.2</v>
      </c>
      <c r="G81" s="13" t="inlineStr">
        <is>
          <t>score 0-100</t>
        </is>
      </c>
      <c r="H81" s="15" t="inlineStr">
        <is>
          <t>eGovernment Benchmark score</t>
        </is>
      </c>
      <c r="I81" s="13" t="inlineStr"/>
      <c r="J81" s="14" t="inlineStr">
        <is>
          <t>EC1</t>
        </is>
      </c>
      <c r="K81" s="13" t="inlineStr">
        <is>
          <t>2026-09-12</t>
        </is>
      </c>
      <c r="L81" s="15" t="inlineStr">
        <is>
          <t>BELOW the EU average of 84.64.</t>
        </is>
      </c>
    </row>
    <row r="82">
      <c r="A82" s="13" t="n">
        <v>81</v>
      </c>
      <c r="B82" s="14" t="inlineStr">
        <is>
          <t>EU.GOV.DPS.CIT</t>
        </is>
      </c>
      <c r="C82" s="15" t="inlineStr">
        <is>
          <t>Digital public services for citizens (score)</t>
        </is>
      </c>
      <c r="D82" s="13" t="inlineStr">
        <is>
          <t>EU27</t>
        </is>
      </c>
      <c r="E82" s="13" t="n">
        <v>2025</v>
      </c>
      <c r="F82" s="16" t="n">
        <v>84.64</v>
      </c>
      <c r="G82" s="13" t="inlineStr">
        <is>
          <t>score 0-100</t>
        </is>
      </c>
      <c r="H82" s="15" t="inlineStr">
        <is>
          <t>eGovernment Benchmark score</t>
        </is>
      </c>
      <c r="I82" s="13" t="inlineStr"/>
      <c r="J82" s="14" t="inlineStr">
        <is>
          <t>EC1</t>
        </is>
      </c>
      <c r="K82" s="13" t="inlineStr">
        <is>
          <t>2026-09-12</t>
        </is>
      </c>
      <c r="L82" s="15" t="inlineStr"/>
    </row>
    <row r="83">
      <c r="A83" s="13" t="n">
        <v>82</v>
      </c>
      <c r="B83" s="14" t="inlineStr">
        <is>
          <t>DK.GOV.DPS.XB</t>
        </is>
      </c>
      <c r="C83" s="15" t="inlineStr">
        <is>
          <t>Cross-border digital public services, citizens (score)</t>
        </is>
      </c>
      <c r="D83" s="13" t="inlineStr">
        <is>
          <t>DK</t>
        </is>
      </c>
      <c r="E83" s="13" t="n">
        <v>2025</v>
      </c>
      <c r="F83" s="16" t="n">
        <v>64.40000000000001</v>
      </c>
      <c r="G83" s="13" t="inlineStr">
        <is>
          <t>score 0-100</t>
        </is>
      </c>
      <c r="H83" s="15" t="inlineStr">
        <is>
          <t>eGovernment Benchmark score</t>
        </is>
      </c>
      <c r="I83" s="13" t="inlineStr"/>
      <c r="J83" s="14" t="inlineStr">
        <is>
          <t>EC1</t>
        </is>
      </c>
      <c r="K83" s="13" t="inlineStr">
        <is>
          <t>2026-09-12</t>
        </is>
      </c>
      <c r="L83" s="15" t="inlineStr">
        <is>
          <t>EU average 75.28.</t>
        </is>
      </c>
    </row>
    <row r="84">
      <c r="A84" s="13" t="n">
        <v>83</v>
      </c>
      <c r="B84" s="14" t="inlineStr">
        <is>
          <t>DK.ENV.WEEE</t>
        </is>
      </c>
      <c r="C84" s="15" t="inlineStr">
        <is>
          <t>ICT waste recycled or prepared for reuse</t>
        </is>
      </c>
      <c r="D84" s="13" t="inlineStr">
        <is>
          <t>DK</t>
        </is>
      </c>
      <c r="E84" s="13" t="n">
        <v>2023</v>
      </c>
      <c r="F84" s="16" t="n">
        <v>15.37</v>
      </c>
      <c r="G84" s="13" t="inlineStr">
        <is>
          <t>%</t>
        </is>
      </c>
      <c r="H84" s="15" t="inlineStr">
        <is>
          <t>% of ICT-related WEEE collected</t>
        </is>
      </c>
      <c r="I84" s="13" t="inlineStr"/>
      <c r="J84" s="14" t="inlineStr">
        <is>
          <t>EC1</t>
        </is>
      </c>
      <c r="K84" s="13" t="inlineStr">
        <is>
          <t>2026-09-12</t>
        </is>
      </c>
      <c r="L84" s="15" t="inlineStr">
        <is>
          <t>Among the lowest in the EU; EU average 80.23%.</t>
        </is>
      </c>
    </row>
    <row r="85">
      <c r="A85" s="13" t="n">
        <v>84</v>
      </c>
      <c r="B85" s="14" t="inlineStr">
        <is>
          <t>EU.ENV.WEEE</t>
        </is>
      </c>
      <c r="C85" s="15" t="inlineStr">
        <is>
          <t>ICT waste recycled or prepared for reuse</t>
        </is>
      </c>
      <c r="D85" s="13" t="inlineStr">
        <is>
          <t>EU27</t>
        </is>
      </c>
      <c r="E85" s="13" t="n">
        <v>2023</v>
      </c>
      <c r="F85" s="16" t="n">
        <v>80.23</v>
      </c>
      <c r="G85" s="13" t="inlineStr">
        <is>
          <t>%</t>
        </is>
      </c>
      <c r="H85" s="15" t="inlineStr">
        <is>
          <t>% of ICT-related WEEE collected</t>
        </is>
      </c>
      <c r="I85" s="13" t="inlineStr"/>
      <c r="J85" s="14" t="inlineStr">
        <is>
          <t>EC1</t>
        </is>
      </c>
      <c r="K85" s="13" t="inlineStr">
        <is>
          <t>2026-09-12</t>
        </is>
      </c>
      <c r="L85" s="15" t="inlineStr"/>
    </row>
    <row r="86">
      <c r="A86" s="18" t="n">
        <v>85</v>
      </c>
      <c r="B86" s="19" t="inlineStr">
        <is>
          <t>DK.SME.SMVD.PROJ</t>
        </is>
      </c>
      <c r="C86" s="20" t="inlineStr">
        <is>
          <t>SMV:Digital projects supported since 2018</t>
        </is>
      </c>
      <c r="D86" s="18" t="inlineStr">
        <is>
          <t>DK</t>
        </is>
      </c>
      <c r="E86" s="18" t="n">
        <v>2025</v>
      </c>
      <c r="F86" s="21" t="n">
        <v>7000</v>
      </c>
      <c r="G86" s="18" t="inlineStr">
        <is>
          <t>count</t>
        </is>
      </c>
      <c r="H86" s="20" t="inlineStr">
        <is>
          <t>digitalisation projects</t>
        </is>
      </c>
      <c r="I86" s="18" t="inlineStr">
        <is>
          <t>e</t>
        </is>
      </c>
      <c r="J86" s="19" t="inlineStr">
        <is>
          <t>DG3</t>
        </is>
      </c>
      <c r="K86" s="18" t="inlineStr">
        <is>
          <t>2026-09-12</t>
        </is>
      </c>
      <c r="L86" s="20" t="inlineStr">
        <is>
          <t>Source states 'knap 7.000' (just under 7,000).</t>
        </is>
      </c>
    </row>
    <row r="87">
      <c r="A87" s="13" t="n">
        <v>86</v>
      </c>
      <c r="B87" s="14" t="inlineStr">
        <is>
          <t>DK.SME.SMVD.INV</t>
        </is>
      </c>
      <c r="C87" s="15" t="inlineStr">
        <is>
          <t>Participants who invested further during the project</t>
        </is>
      </c>
      <c r="D87" s="13" t="inlineStr">
        <is>
          <t>DK</t>
        </is>
      </c>
      <c r="E87" s="13" t="n">
        <v>2025</v>
      </c>
      <c r="F87" s="16" t="n">
        <v>65</v>
      </c>
      <c r="G87" s="13" t="inlineStr">
        <is>
          <t>%</t>
        </is>
      </c>
      <c r="H87" s="15" t="inlineStr">
        <is>
          <t>% of participating enterprises</t>
        </is>
      </c>
      <c r="I87" s="13" t="inlineStr"/>
      <c r="J87" s="14" t="inlineStr">
        <is>
          <t>DG3</t>
        </is>
      </c>
      <c r="K87" s="13" t="inlineStr">
        <is>
          <t>2026-09-12</t>
        </is>
      </c>
      <c r="L87" s="15" t="inlineStr"/>
    </row>
    <row r="88">
      <c r="A88" s="13" t="n">
        <v>87</v>
      </c>
      <c r="B88" s="14" t="inlineStr">
        <is>
          <t>DK.SME.SMVD.NOINV</t>
        </is>
      </c>
      <c r="C88" s="15" t="inlineStr">
        <is>
          <t>Participants with no further investment plans</t>
        </is>
      </c>
      <c r="D88" s="13" t="inlineStr">
        <is>
          <t>DK</t>
        </is>
      </c>
      <c r="E88" s="13" t="n">
        <v>2025</v>
      </c>
      <c r="F88" s="16" t="n">
        <v>2</v>
      </c>
      <c r="G88" s="13" t="inlineStr">
        <is>
          <t>%</t>
        </is>
      </c>
      <c r="H88" s="15" t="inlineStr">
        <is>
          <t>% of participating enterprises</t>
        </is>
      </c>
      <c r="I88" s="13" t="inlineStr"/>
      <c r="J88" s="14" t="inlineStr">
        <is>
          <t>DG3</t>
        </is>
      </c>
      <c r="K88" s="13" t="inlineStr">
        <is>
          <t>2026-09-12</t>
        </is>
      </c>
      <c r="L88" s="15" t="inlineStr"/>
    </row>
  </sheetData>
  <autoFilter ref="A1:L8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44" customWidth="1" min="3" max="3"/>
    <col width="24" customWidth="1" min="4" max="4"/>
    <col width="56" customWidth="1" min="5" max="5"/>
    <col width="12" customWidth="1" min="6" max="6"/>
    <col width="76" customWidth="1" min="7" max="7"/>
  </cols>
  <sheetData>
    <row r="1" ht="28" customHeight="1">
      <c r="A1" s="8" t="inlineStr">
        <is>
          <t>source_id</t>
        </is>
      </c>
      <c r="B1" s="8" t="inlineStr">
        <is>
          <t>authority</t>
        </is>
      </c>
      <c r="C1" s="8" t="inlineStr">
        <is>
          <t>publication</t>
        </is>
      </c>
      <c r="D1" s="8" t="inlineStr">
        <is>
          <t>dataset code</t>
        </is>
      </c>
      <c r="E1" s="8" t="inlineStr">
        <is>
          <t>URL</t>
        </is>
      </c>
      <c r="F1" s="8" t="inlineStr">
        <is>
          <t>accessed</t>
        </is>
      </c>
      <c r="G1" s="8" t="inlineStr">
        <is>
          <t>RMIT Harvard reference</t>
        </is>
      </c>
    </row>
    <row r="2" ht="46" customHeight="1">
      <c r="A2" s="23" t="inlineStr">
        <is>
          <t>NB1</t>
        </is>
      </c>
      <c r="B2" s="15" t="inlineStr">
        <is>
          <t>Danmarks Nationalbank</t>
        </is>
      </c>
      <c r="C2" s="15" t="inlineStr">
        <is>
          <t>Danskernes betalingsvaner</t>
        </is>
      </c>
      <c r="D2" s="15" t="inlineStr"/>
      <c r="E2" s="15" t="inlineStr">
        <is>
          <t>https://www.nationalbanken.dk/en/what-we-do/safe-and-efficient-payments/payment-habits-in-denmark</t>
        </is>
      </c>
      <c r="F2" s="15" t="inlineStr">
        <is>
          <t>2026-09-12</t>
        </is>
      </c>
      <c r="G2" s="15" t="inlineStr">
        <is>
          <t>Danmarks Nationalbank 2025, Danskernes betalingsvaner, Danmarks Nationalbank, Copenhagen, accessed 12 September 2026, &lt;https://www.nationalbanken.dk/en/what-we-do/safe-and-efficient-payments/payment-habits-in-denmark&gt;.</t>
        </is>
      </c>
    </row>
    <row r="3" ht="46" customHeight="1">
      <c r="A3" s="23" t="inlineStr">
        <is>
          <t>NB2</t>
        </is>
      </c>
      <c r="B3" s="15" t="inlineStr">
        <is>
          <t>Danmarks Nationalbank</t>
        </is>
      </c>
      <c r="C3" s="15" t="inlineStr">
        <is>
          <t>Danskerne betaler mere digitalt - det goer offline-betalinger endnu vigtigere som beredskab (press release, 26 June 2026)</t>
        </is>
      </c>
      <c r="D3" s="15" t="inlineStr"/>
      <c r="E3" s="15" t="inlineStr">
        <is>
          <t>https://www.nationalbanken.dk/da/viden-og-nyheder/presse/arkiv/2026/danskerne-betaler-mere-digitalt-det-goer-offline-betalinger-endnu-vigtigere-som-beredskab-26-06-2026</t>
        </is>
      </c>
      <c r="F3" s="15" t="inlineStr">
        <is>
          <t>2026-09-12</t>
        </is>
      </c>
      <c r="G3" s="15" t="inlineStr">
        <is>
          <t>Danmarks Nationalbank 2026, Danskerne betaler mere digitalt - det goer offline-betalinger endnu vigtigere som beredskab, press release, 26 June, Danmarks Nationalbank, Copenhagen, accessed 12 September 2026.</t>
        </is>
      </c>
    </row>
    <row r="4" ht="46" customHeight="1">
      <c r="A4" s="23" t="inlineStr">
        <is>
          <t>FD1</t>
        </is>
      </c>
      <c r="B4" s="15" t="inlineStr">
        <is>
          <t>Finans Danmark</t>
        </is>
      </c>
      <c r="C4" s="15" t="inlineStr">
        <is>
          <t>Institutter, filialer &amp; ansatte</t>
        </is>
      </c>
      <c r="D4" s="15" t="inlineStr"/>
      <c r="E4" s="15" t="inlineStr">
        <is>
          <t>https://finansdanmark.dk/tal-og-data/institutter-filialer-ansatte/</t>
        </is>
      </c>
      <c r="F4" s="15" t="inlineStr">
        <is>
          <t>2026-09-12</t>
        </is>
      </c>
      <c r="G4" s="15" t="inlineStr">
        <is>
          <t>Finans Danmark 2025, Institutter, filialer &amp; ansatte, Finans Danmark, Copenhagen, accessed 12 September 2026, &lt;https://finansdanmark.dk/tal-og-data/institutter-filialer-ansatte/&gt;.</t>
        </is>
      </c>
    </row>
    <row r="5" ht="46" customHeight="1">
      <c r="A5" s="23" t="inlineStr">
        <is>
          <t>ES1</t>
        </is>
      </c>
      <c r="B5" s="15" t="inlineStr">
        <is>
          <t>Eurostat</t>
        </is>
      </c>
      <c r="C5" s="15" t="inlineStr">
        <is>
          <t>E-commerce statistics for individuals (Statistics Explained)</t>
        </is>
      </c>
      <c r="D5" s="15" t="inlineStr">
        <is>
          <t>isoc_ec_ib20 / isoc_ec_ibuy</t>
        </is>
      </c>
      <c r="E5" s="15" t="inlineStr">
        <is>
          <t>https://ec.europa.eu/eurostat/statistics-explained/index.php?title=E-commerce_statistics_for_individuals</t>
        </is>
      </c>
      <c r="F5" s="15" t="inlineStr">
        <is>
          <t>2026-09-12</t>
        </is>
      </c>
      <c r="G5" s="15" t="inlineStr">
        <is>
          <t>Eurostat 2025, E-commerce statistics for individuals, Statistics Explained, European Commission, Luxembourg, accessed 12 September 2026.</t>
        </is>
      </c>
    </row>
    <row r="6" ht="46" customHeight="1">
      <c r="A6" s="23" t="inlineStr">
        <is>
          <t>ES2</t>
        </is>
      </c>
      <c r="B6" s="15" t="inlineStr">
        <is>
          <t>Eurostat</t>
        </is>
      </c>
      <c r="C6" s="15" t="inlineStr">
        <is>
          <t>Online shopping ever more popular in 2020 (ddn-20210217-1)</t>
        </is>
      </c>
      <c r="D6" s="15" t="inlineStr">
        <is>
          <t>isoc_ec_ib20</t>
        </is>
      </c>
      <c r="E6" s="15" t="inlineStr">
        <is>
          <t>https://ec.europa.eu/eurostat/web/products-eurostat-news/-/ddn-20210217-1</t>
        </is>
      </c>
      <c r="F6" s="15" t="inlineStr">
        <is>
          <t>2026-09-12</t>
        </is>
      </c>
      <c r="G6" s="15" t="inlineStr">
        <is>
          <t>Eurostat 2021, Online shopping ever more popular in 2020, European Commission, Luxembourg, accessed 12 September 2026.</t>
        </is>
      </c>
    </row>
    <row r="7" ht="46" customHeight="1">
      <c r="A7" s="23" t="inlineStr">
        <is>
          <t>ES3</t>
        </is>
      </c>
      <c r="B7" s="15" t="inlineStr">
        <is>
          <t>Eurostat</t>
        </is>
      </c>
      <c r="C7" s="15" t="inlineStr">
        <is>
          <t>Online shopping ever more popular (ddn-20220202-1)</t>
        </is>
      </c>
      <c r="D7" s="15" t="inlineStr">
        <is>
          <t>isoc_ec_ib20</t>
        </is>
      </c>
      <c r="E7" s="15" t="inlineStr">
        <is>
          <t>https://ec.europa.eu/eurostat/web/products-eurostat-news/-/ddn-20220202-1</t>
        </is>
      </c>
      <c r="F7" s="15" t="inlineStr">
        <is>
          <t>2026-09-12</t>
        </is>
      </c>
      <c r="G7" s="15" t="inlineStr">
        <is>
          <t>Eurostat 2022, Online shopping ever more popular, European Commission, Luxembourg, accessed 12 September 2026.</t>
        </is>
      </c>
    </row>
    <row r="8" ht="46" customHeight="1">
      <c r="A8" s="23" t="inlineStr">
        <is>
          <t>ES4</t>
        </is>
      </c>
      <c r="B8" s="15" t="inlineStr">
        <is>
          <t>Eurostat</t>
        </is>
      </c>
      <c r="C8" s="15" t="inlineStr">
        <is>
          <t>E-commerce statistics for individuals, 2024 reference year (ddn-20250220-3)</t>
        </is>
      </c>
      <c r="D8" s="15" t="inlineStr">
        <is>
          <t>isoc_ec_ib20</t>
        </is>
      </c>
      <c r="E8" s="15" t="inlineStr">
        <is>
          <t>https://ec.europa.eu/eurostat/web/products-eurostat-news/w/ddn-20250220-3</t>
        </is>
      </c>
      <c r="F8" s="15" t="inlineStr">
        <is>
          <t>2026-09-12</t>
        </is>
      </c>
      <c r="G8" s="15" t="inlineStr">
        <is>
          <t>Eurostat 2025, E-commerce statistics for individuals, European Commission, Luxembourg, accessed 12 September 2026.</t>
        </is>
      </c>
    </row>
    <row r="9" ht="46" customHeight="1">
      <c r="A9" s="23" t="inlineStr">
        <is>
          <t>ES5</t>
        </is>
      </c>
      <c r="B9" s="15" t="inlineStr">
        <is>
          <t>Eurostat</t>
        </is>
      </c>
      <c r="C9" s="15" t="inlineStr">
        <is>
          <t>EU enterprises' online sales reach new heights in 2023 (ddn-20250227-2)</t>
        </is>
      </c>
      <c r="D9" s="15" t="inlineStr">
        <is>
          <t>isoc_ec_evaln2 / tin00110</t>
        </is>
      </c>
      <c r="E9" s="15" t="inlineStr">
        <is>
          <t>https://ec.europa.eu/eurostat/web/products-eurostat-news/w/ddn-20250227-2</t>
        </is>
      </c>
      <c r="F9" s="15" t="inlineStr">
        <is>
          <t>2026-09-12</t>
        </is>
      </c>
      <c r="G9" s="15" t="inlineStr">
        <is>
          <t>Eurostat 2025, EU enterprises' online sales reach new heights, European Commission, Luxembourg, accessed 12 September 2026.</t>
        </is>
      </c>
    </row>
    <row r="10" ht="46" customHeight="1">
      <c r="A10" s="23" t="inlineStr">
        <is>
          <t>ES6</t>
        </is>
      </c>
      <c r="B10" s="15" t="inlineStr">
        <is>
          <t>Eurostat</t>
        </is>
      </c>
      <c r="C10" s="15" t="inlineStr">
        <is>
          <t>Share of enterprises' turnover on e-commerce, by country (country-level values retrieved via search of the Eurostat indicator)</t>
        </is>
      </c>
      <c r="D10" s="15" t="inlineStr">
        <is>
          <t>tin00110</t>
        </is>
      </c>
      <c r="E10" s="15" t="inlineStr">
        <is>
          <t>https://ec.europa.eu/eurostat/databrowser/view/tin00110/default/table?lang=en</t>
        </is>
      </c>
      <c r="F10" s="15" t="inlineStr">
        <is>
          <t>2026-09-12</t>
        </is>
      </c>
      <c r="G10" s="15" t="inlineStr">
        <is>
          <t>Eurostat 2025, Share of enterprises' turnover on e-commerce (tin00110), European Commission, Luxembourg, accessed 12 September 2026.</t>
        </is>
      </c>
    </row>
    <row r="11" ht="46" customHeight="1">
      <c r="A11" s="23" t="inlineStr">
        <is>
          <t>EC1</t>
        </is>
      </c>
      <c r="B11" s="15" t="inlineStr">
        <is>
          <t>European Commission</t>
        </is>
      </c>
      <c r="C11" s="15" t="inlineStr">
        <is>
          <t>Digital Decade 2026 country report: Denmark, SWD(2026) 155 final, Part 7/27, 17 June 2026</t>
        </is>
      </c>
      <c r="D11" s="15" t="inlineStr">
        <is>
          <t>DESI 2026</t>
        </is>
      </c>
      <c r="E11" s="15" t="inlineStr">
        <is>
          <t>https://digital-strategy.ec.europa.eu/en/policies/desi</t>
        </is>
      </c>
      <c r="F11" s="15" t="inlineStr">
        <is>
          <t>2026-09-12</t>
        </is>
      </c>
      <c r="G11" s="15" t="inlineStr">
        <is>
          <t>European Commission 2026, Digital Decade 2026 country report: Denmark, SWD(2026) 155 final, Part 7/27, European Commission, Brussels.</t>
        </is>
      </c>
    </row>
    <row r="12" ht="46" customHeight="1">
      <c r="A12" s="23" t="inlineStr">
        <is>
          <t>DG1</t>
        </is>
      </c>
      <c r="B12" s="15" t="inlineStr">
        <is>
          <t>Digitaliseringsstyrelsen (Danish Agency for Digital Government)</t>
        </is>
      </c>
      <c r="C12" s="15" t="inlineStr">
        <is>
          <t>Statistik om Digital Post</t>
        </is>
      </c>
      <c r="D12" s="15" t="inlineStr"/>
      <c r="E12" s="15" t="inlineStr">
        <is>
          <t>https://digst.dk/tal-og-statistik/</t>
        </is>
      </c>
      <c r="F12" s="15" t="inlineStr">
        <is>
          <t>2026-09-12</t>
        </is>
      </c>
      <c r="G12" s="15" t="inlineStr">
        <is>
          <t>Digitaliseringsstyrelsen 2026, Statistik om Digital Post, Agency for Digital Government, Copenhagen, accessed 12 September 2026.</t>
        </is>
      </c>
    </row>
    <row r="13" ht="46" customHeight="1">
      <c r="A13" s="23" t="inlineStr">
        <is>
          <t>DG2</t>
        </is>
      </c>
      <c r="B13" s="15" t="inlineStr">
        <is>
          <t>Digitaliseringsstyrelsen (Danish Agency for Digital Government)</t>
        </is>
      </c>
      <c r="C13" s="15" t="inlineStr">
        <is>
          <t>Hvem oplever udfordringer ved det digitale?</t>
        </is>
      </c>
      <c r="D13" s="15" t="inlineStr"/>
      <c r="E13" s="15" t="inlineStr">
        <is>
          <t>https://digst.dk/digital-inklusion/viden-om-digital-inklusion/hvem-oplever-udfordringer-ved-det-digitale/</t>
        </is>
      </c>
      <c r="F13" s="15" t="inlineStr">
        <is>
          <t>2026-09-12</t>
        </is>
      </c>
      <c r="G13" s="15" t="inlineStr">
        <is>
          <t>Digitaliseringsstyrelsen 2025, Hvem oplever udfordringer ved det digitale?, Agency for Digital Government, Copenhagen, accessed 12 September 2026.</t>
        </is>
      </c>
    </row>
    <row r="14" ht="46" customHeight="1">
      <c r="A14" s="23" t="inlineStr">
        <is>
          <t>DG3</t>
        </is>
      </c>
      <c r="B14" s="15" t="inlineStr">
        <is>
          <t>Digitaliseringsstyrelsen / Danmarks Statistik</t>
        </is>
      </c>
      <c r="C14" s="15" t="inlineStr">
        <is>
          <t>Effektmaaling af SMV:Digital, June 2025</t>
        </is>
      </c>
      <c r="D14" s="15" t="inlineStr"/>
      <c r="E14" s="15" t="inlineStr">
        <is>
          <t>https://digst.dk/media/yz2ouzzz/effektmaaling-af-smvdigital-2025.pdf</t>
        </is>
      </c>
      <c r="F14" s="15" t="inlineStr">
        <is>
          <t>2026-09-12</t>
        </is>
      </c>
      <c r="G14" s="15" t="inlineStr">
        <is>
          <t>Digitaliseringsstyrelsen 2025, Effektmaaling af SMV:Digital, prepared by Danmarks Statistik, Agency for Digital Government, Copenhagen, accessed 12 September 2026.</t>
        </is>
      </c>
    </row>
    <row r="15" ht="46" customHeight="1">
      <c r="A15" s="23" t="inlineStr">
        <is>
          <t>JU1</t>
        </is>
      </c>
      <c r="B15" s="15" t="inlineStr">
        <is>
          <t>Justitia (independent Danish legal think tank)</t>
        </is>
      </c>
      <c r="C15" s="15" t="inlineStr">
        <is>
          <t>Retssikkerhed for digitalt udsatte borgere, July 2022</t>
        </is>
      </c>
      <c r="D15" s="15" t="inlineStr">
        <is>
          <t>Folketinget DIU Alm.del bilag 32</t>
        </is>
      </c>
      <c r="E15" s="15" t="inlineStr">
        <is>
          <t>https://justitia-int.org/wp-content/uploads/2022/09/Rapport_Retssikkerhed-for-digitalt-udsatte-borgere-1.pdf</t>
        </is>
      </c>
      <c r="F15" s="15" t="inlineStr">
        <is>
          <t>2026-09-12</t>
        </is>
      </c>
      <c r="G15" s="15" t="inlineStr">
        <is>
          <t>Justitia 2022, Retssikkerhed for digitalt udsatte borgere, Justitia, Copenhagen, accessed 12 September 2026.</t>
        </is>
      </c>
    </row>
    <row r="16" ht="46" customHeight="1">
      <c r="A16" s="23" t="inlineStr">
        <is>
          <t>IMR1</t>
        </is>
      </c>
      <c r="B16" s="15" t="inlineStr">
        <is>
          <t>Institut for Menneskerettigheder (Danish Institute for Human Rights)</t>
        </is>
      </c>
      <c r="C16" s="15" t="inlineStr">
        <is>
          <t>Rettigheder i den digitale velfaerdsstat, December 2023</t>
        </is>
      </c>
      <c r="D16" s="15" t="inlineStr"/>
      <c r="E16" s="15" t="inlineStr">
        <is>
          <t>https://menneskeret.dk/sites/menneskeret.dk/files/media/document/Rettigheder%20i%20den%20digitale%20velf%C3%A6rdsstat.%20Analyse,%20Institut%20for%20Menneskerettigheder,%20december%202023.PDF</t>
        </is>
      </c>
      <c r="F16" s="15" t="inlineStr">
        <is>
          <t>2026-09-12</t>
        </is>
      </c>
      <c r="G16" s="15" t="inlineStr">
        <is>
          <t>Institut for Menneskerettigheder 2023, Rettigheder i den digitale velfaerdsstat, Danish Institute for Human Rights, Copenhagen, accessed 12 September 2026.</t>
        </is>
      </c>
    </row>
    <row r="17" ht="46" customHeight="1">
      <c r="A17" s="23" t="inlineStr">
        <is>
          <t>RI1</t>
        </is>
      </c>
      <c r="B17" s="15" t="inlineStr">
        <is>
          <t>Retsinformation (Danish official legal information portal)</t>
        </is>
      </c>
      <c r="C17" s="15" t="inlineStr">
        <is>
          <t>Lov om Offentlig Digital Post, LOV nr 528 af 11/06/2012</t>
        </is>
      </c>
      <c r="D17" s="15" t="inlineStr">
        <is>
          <t>ELI: lta/2012/528</t>
        </is>
      </c>
      <c r="E17" s="15" t="inlineStr">
        <is>
          <t>https://www.retsinformation.dk/eli/lta/2012/528</t>
        </is>
      </c>
      <c r="F17" s="15" t="inlineStr">
        <is>
          <t>2026-09-12</t>
        </is>
      </c>
      <c r="G17" s="15" t="inlineStr">
        <is>
          <t>Denmark 2012, Lov om Offentlig Digital Post (LOV nr 528 af 11/06/2012), Retsinformation, Copenhagen, accessed 12 September 2026.</t>
        </is>
      </c>
    </row>
    <row r="18" ht="46" customHeight="1">
      <c r="A18" s="23" t="inlineStr">
        <is>
          <t>DST1</t>
        </is>
      </c>
      <c r="B18" s="15" t="inlineStr">
        <is>
          <t>Danmarks Statistik</t>
        </is>
      </c>
      <c r="C18" s="15" t="inlineStr">
        <is>
          <t>Detailomsaetningsindeks (retail trade turnover index)</t>
        </is>
      </c>
      <c r="D18" s="15" t="inlineStr">
        <is>
          <t>StatBank; base year rebased 2015 -&gt; 2021</t>
        </is>
      </c>
      <c r="E18" s="15" t="inlineStr">
        <is>
          <t>https://www.dst.dk/da/Statistik/dokumentation/statistikdokumentation/detailomsaetningsindeks</t>
        </is>
      </c>
      <c r="F18" s="15" t="inlineStr">
        <is>
          <t>2026-09-12</t>
        </is>
      </c>
      <c r="G18" s="15" t="inlineStr">
        <is>
          <t>Danmarks Statistik 2025, Detailomsaetningsindeks, Statistics Denmark, Copenhagen, accessed 12 September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24" customWidth="1" min="1" max="1"/>
    <col width="62" customWidth="1" min="2" max="2"/>
    <col width="72" customWidth="1" min="3" max="3"/>
  </cols>
  <sheetData>
    <row r="1" ht="28" customHeight="1">
      <c r="A1" s="8" t="inlineStr">
        <is>
          <t>series_code</t>
        </is>
      </c>
      <c r="B1" s="8" t="inlineStr">
        <is>
          <t>what it measures</t>
        </is>
      </c>
      <c r="C1" s="8" t="inlineStr">
        <is>
          <t>what it excludes / watch for</t>
        </is>
      </c>
    </row>
    <row r="2" ht="44" customHeight="1">
      <c r="A2" s="24" t="inlineStr">
        <is>
          <t>DK.PAY.CASH.POS</t>
        </is>
      </c>
      <c r="B2" s="15" t="inlineStr">
        <is>
          <t>Cash as a share of the NUMBER of payments made at physical points of sale.</t>
        </is>
      </c>
      <c r="C2" s="15" t="inlineStr">
        <is>
          <t>Not a share of value. Excludes e-commerce entirely.</t>
        </is>
      </c>
    </row>
    <row r="3" ht="44" customHeight="1">
      <c r="A3" s="24" t="inlineStr">
        <is>
          <t>DK.PAY.CRD.PHYS</t>
        </is>
      </c>
      <c r="B3" s="15" t="inlineStr">
        <is>
          <t>Physical payment cards as a share of the number of in-store payments.</t>
        </is>
      </c>
      <c r="C3" s="15" t="inlineStr">
        <is>
          <t>Falls partly because wallets replace the physical card, not because card payment declines.</t>
        </is>
      </c>
    </row>
    <row r="4" ht="44" customHeight="1">
      <c r="A4" s="24" t="inlineStr">
        <is>
          <t>DK.PAY.WLT.SHR</t>
        </is>
      </c>
      <c r="B4" s="15" t="inlineStr">
        <is>
          <t>Card-based mobile wallets as a share of the number of in-store payments.</t>
        </is>
      </c>
      <c r="C4" s="15" t="inlineStr">
        <is>
          <t>Wallet payments are card payments. Do not add to the card share.</t>
        </is>
      </c>
    </row>
    <row r="5" ht="44" customHeight="1">
      <c r="A5" s="24" t="inlineStr">
        <is>
          <t>DK.PAY.WLT.OWN</t>
        </is>
      </c>
      <c r="B5" s="15" t="inlineStr">
        <is>
          <t>Share of CITIZENS with a wallet solution on their phone.</t>
        </is>
      </c>
      <c r="C5" s="15" t="inlineStr">
        <is>
          <t>Different denominator from the payment-share series. Memo only - deliberately excluded from Figure 2.</t>
        </is>
      </c>
    </row>
    <row r="6" ht="44" customHeight="1">
      <c r="A6" s="24" t="inlineStr">
        <is>
          <t>DK.FIN.BRCH</t>
        </is>
      </c>
      <c r="B6" s="15" t="inlineStr">
        <is>
          <t>Number of retail bank branches operated by Danish credit institutions.</t>
        </is>
      </c>
      <c r="C6" s="15" t="inlineStr">
        <is>
          <t>Consolidation and digitalisation both reduce this. The series alone cannot separate the two causes.</t>
        </is>
      </c>
    </row>
    <row r="7" ht="44" customHeight="1">
      <c r="A7" s="24" t="inlineStr">
        <is>
          <t>DK.ECM.IND.BUY</t>
        </is>
      </c>
      <c r="B7" s="15" t="inlineStr">
        <is>
          <t>Individuals who purchased goods or services online in the last 12 months.</t>
        </is>
      </c>
      <c r="C7" s="15" t="inlineStr">
        <is>
          <t>DENOMINATOR BREAK at 2020: % of individuals before, % of internet users after. Never plot 2019 with later years.</t>
        </is>
      </c>
    </row>
    <row r="8" ht="44" customHeight="1">
      <c r="A8" s="24" t="inlineStr">
        <is>
          <t>DK.ECM.ENT.TRN</t>
        </is>
      </c>
      <c r="B8" s="15" t="inlineStr">
        <is>
          <t>E-commerce sales as a share of total enterprise turnover.</t>
        </is>
      </c>
      <c r="C8" s="15" t="inlineStr">
        <is>
          <t>Measures INTENSITY of online selling, not how many firms sell online. Pair with DK.ECM.ENT.SHR.</t>
        </is>
      </c>
    </row>
    <row r="9" ht="44" customHeight="1">
      <c r="A9" s="24" t="inlineStr">
        <is>
          <t>DK.ECM.ENT.SHR</t>
        </is>
      </c>
      <c r="B9" s="15" t="inlineStr">
        <is>
          <t>Share of enterprises making any e-sales.</t>
        </is>
      </c>
      <c r="C9" s="15" t="inlineStr">
        <is>
          <t>Measures BREADTH of adoption. Flat breadth with rising intensity means incumbents deepening, not new entrants.</t>
        </is>
      </c>
    </row>
    <row r="10" ht="44" customHeight="1">
      <c r="A10" s="24" t="inlineStr">
        <is>
          <t>DK.DGP.EXMP</t>
        </is>
      </c>
      <c r="B10" s="15" t="inlineStr">
        <is>
          <t>Citizens formally exempt from mandatory Digital Post under the statutory exemption regime.</t>
        </is>
      </c>
      <c r="C10" s="15" t="inlineStr">
        <is>
          <t>An administrative status, not a measure of capability. A citizen may struggle without being exempt.</t>
        </is>
      </c>
    </row>
    <row r="11" ht="44" customHeight="1">
      <c r="A11" s="24" t="inlineStr">
        <is>
          <t>DK.DGX.DIFF</t>
        </is>
      </c>
      <c r="B11" s="15" t="inlineStr">
        <is>
          <t>Population estimated to face difficulties using digital public services.</t>
        </is>
      </c>
      <c r="C11" s="15" t="inlineStr">
        <is>
          <t>A capability estimate, not an administrative count. Much larger than the exemption rate - that gap is the analytical point.</t>
        </is>
      </c>
    </row>
    <row r="12" ht="44" customHeight="1">
      <c r="A12" s="24" t="inlineStr">
        <is>
          <t>DK.DGX.JUST</t>
        </is>
      </c>
      <c r="B12" s="15" t="inlineStr">
        <is>
          <t>Justitia's estimate of the digitally disadvantaged adult population.</t>
        </is>
      </c>
      <c r="C12" s="15" t="inlineStr">
        <is>
          <t>Think-tank estimate, broadest definition of the five. Cite as an upper bound, not as an official statistic.</t>
        </is>
      </c>
    </row>
    <row r="13" ht="44" customHeight="1">
      <c r="A13" s="24" t="inlineStr">
        <is>
          <t>DK.GOV.DPS.CIT</t>
        </is>
      </c>
      <c r="B13" s="15" t="inlineStr">
        <is>
          <t>eGovernment Benchmark composite score for citizen-facing digital public services.</t>
        </is>
      </c>
      <c r="C13" s="15" t="inlineStr">
        <is>
          <t>A composite index, not a usage rate. Denmark scores BELOW the EU average despite near-universal mandated use.</t>
        </is>
      </c>
    </row>
    <row r="14" ht="44" customHeight="1">
      <c r="A14" s="24" t="inlineStr">
        <is>
          <t>DK.ENV.WEEE</t>
        </is>
      </c>
      <c r="B14" s="15" t="inlineStr">
        <is>
          <t>Share of collected ICT-related electrical waste recycled or prepared for reuse.</t>
        </is>
      </c>
      <c r="C14" s="15" t="inlineStr">
        <is>
          <t>Covers two WEEE categories only. Denominator is waste COLLECTED, not waste generated.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0"/>
  <sheetViews>
    <sheetView showGridLines="0" workbookViewId="0">
      <selection activeCell="A1" sqref="A1"/>
    </sheetView>
  </sheetViews>
  <sheetFormatPr baseColWidth="8" defaultRowHeight="15"/>
  <cols>
    <col width="46" customWidth="1" min="1" max="1"/>
    <col width="16" customWidth="1" min="2" max="2"/>
    <col width="14" customWidth="1" min="3" max="3"/>
    <col width="74" customWidth="1" min="4" max="4"/>
  </cols>
  <sheetData>
    <row r="1" ht="22" customHeight="1">
      <c r="A1" s="7" t="inlineStr">
        <is>
          <t>Derived quantities</t>
        </is>
      </c>
    </row>
    <row r="2">
      <c r="A2" s="25" t="inlineStr">
        <is>
          <t>Every cell below is a live formula over 02_MASTER. No pasted numbers.</t>
        </is>
      </c>
    </row>
    <row r="4" ht="28" customHeight="1">
      <c r="A4" s="8" t="inlineStr">
        <is>
          <t>quantity</t>
        </is>
      </c>
      <c r="B4" s="8" t="inlineStr">
        <is>
          <t>formula result</t>
        </is>
      </c>
      <c r="C4" s="8" t="inlineStr">
        <is>
          <t>unit</t>
        </is>
      </c>
      <c r="D4" s="8" t="inlineStr">
        <is>
          <t>how it is built</t>
        </is>
      </c>
    </row>
    <row r="5" ht="30" customHeight="1">
      <c r="A5" s="26" t="inlineStr">
        <is>
          <t>Bank branches, 2004</t>
        </is>
      </c>
      <c r="B5" s="27">
        <f>IF(COUNTIFS('02_MASTER'!$B:$B,"DK.FIN.BRCH",'02_MASTER'!$E:$E,2004)=0,"",SUMIFS('02_MASTER'!$F:$F,'02_MASTER'!$B:$B,"DK.FIN.BRCH",'02_MASTER'!$E:$E,2004))</f>
        <v/>
      </c>
      <c r="C5" s="28" t="inlineStr">
        <is>
          <t>count</t>
        </is>
      </c>
      <c r="D5" s="29" t="inlineStr">
        <is>
          <t>Direct lookup from 02_MASTER.</t>
        </is>
      </c>
    </row>
    <row r="6" ht="30" customHeight="1">
      <c r="A6" s="26" t="inlineStr">
        <is>
          <t>Bank branches, 2024</t>
        </is>
      </c>
      <c r="B6" s="27">
        <f>IF(COUNTIFS('02_MASTER'!$B:$B,"DK.FIN.BRCH",'02_MASTER'!$E:$E,2024)=0,"",SUMIFS('02_MASTER'!$F:$F,'02_MASTER'!$B:$B,"DK.FIN.BRCH",'02_MASTER'!$E:$E,2024))</f>
        <v/>
      </c>
      <c r="C6" s="28" t="inlineStr">
        <is>
          <t>count</t>
        </is>
      </c>
      <c r="D6" s="29" t="inlineStr">
        <is>
          <t>Direct lookup from 02_MASTER.</t>
        </is>
      </c>
    </row>
    <row r="7" ht="30" customHeight="1">
      <c r="A7" s="26" t="inlineStr">
        <is>
          <t>Branch network change, 2004-2024</t>
        </is>
      </c>
      <c r="B7" s="30">
        <f>(IF(COUNTIFS('02_MASTER'!$B:$B,"DK.FIN.BRCH",'02_MASTER'!$E:$E,2024)=0,"",SUMIFS('02_MASTER'!$F:$F,'02_MASTER'!$B:$B,"DK.FIN.BRCH",'02_MASTER'!$E:$E,2024))/IF(COUNTIFS('02_MASTER'!$B:$B,"DK.FIN.BRCH",'02_MASTER'!$E:$E,2004)=0,"",SUMIFS('02_MASTER'!$F:$F,'02_MASTER'!$B:$B,"DK.FIN.BRCH",'02_MASTER'!$E:$E,2004)))-1</f>
        <v/>
      </c>
      <c r="C7" s="28" t="inlineStr">
        <is>
          <t>%</t>
        </is>
      </c>
      <c r="D7" s="29" t="inlineStr">
        <is>
          <t>Headline structural change for Figure 1.</t>
        </is>
      </c>
    </row>
    <row r="8" ht="30" customHeight="1">
      <c r="A8" s="26" t="inlineStr">
        <is>
          <t>Cash share change, 2017-2025</t>
        </is>
      </c>
      <c r="B8" s="31">
        <f>IF(COUNTIFS('02_MASTER'!$B:$B,"DK.PAY.CASH.POS",'02_MASTER'!$E:$E,2025)=0,"",SUMIFS('02_MASTER'!$F:$F,'02_MASTER'!$B:$B,"DK.PAY.CASH.POS",'02_MASTER'!$E:$E,2025))-IF(COUNTIFS('02_MASTER'!$B:$B,"DK.PAY.CASH.POS",'02_MASTER'!$E:$E,2017)=0,"",SUMIFS('02_MASTER'!$F:$F,'02_MASTER'!$B:$B,"DK.PAY.CASH.POS",'02_MASTER'!$E:$E,2017))</f>
        <v/>
      </c>
      <c r="C8" s="28" t="inlineStr">
        <is>
          <t>pp</t>
        </is>
      </c>
      <c r="D8" s="29" t="inlineStr">
        <is>
          <t>Percentage-point change, not a growth rate - both terms are shares.</t>
        </is>
      </c>
    </row>
    <row r="9" ht="30" customHeight="1">
      <c r="A9" s="26" t="inlineStr">
        <is>
          <t>Cash share, proportional decline 2017-2025</t>
        </is>
      </c>
      <c r="B9" s="30">
        <f>(IF(COUNTIFS('02_MASTER'!$B:$B,"DK.PAY.CASH.POS",'02_MASTER'!$E:$E,2025)=0,"",SUMIFS('02_MASTER'!$F:$F,'02_MASTER'!$B:$B,"DK.PAY.CASH.POS",'02_MASTER'!$E:$E,2025))/IF(COUNTIFS('02_MASTER'!$B:$B,"DK.PAY.CASH.POS",'02_MASTER'!$E:$E,2017)=0,"",SUMIFS('02_MASTER'!$F:$F,'02_MASTER'!$B:$B,"DK.PAY.CASH.POS",'02_MASTER'!$E:$E,2017)))-1</f>
        <v/>
      </c>
      <c r="C9" s="28" t="inlineStr">
        <is>
          <t>%</t>
        </is>
      </c>
      <c r="D9" s="29" t="inlineStr">
        <is>
          <t>Cash fell to roughly a third of its 2017 share.</t>
        </is>
      </c>
    </row>
    <row r="10" ht="30" customHeight="1">
      <c r="A10" s="26" t="inlineStr">
        <is>
          <t>DK e-sales turnover share, change 2014-2024</t>
        </is>
      </c>
      <c r="B10" s="30">
        <f>(IF(COUNTIFS('02_MASTER'!$B:$B,"DK.ECM.ENT.TRN",'02_MASTER'!$E:$E,2024)=0,"",SUMIFS('02_MASTER'!$F:$F,'02_MASTER'!$B:$B,"DK.ECM.ENT.TRN",'02_MASTER'!$E:$E,2024))/IF(COUNTIFS('02_MASTER'!$B:$B,"DK.ECM.ENT.TRN",'02_MASTER'!$E:$E,2014)=0,"",SUMIFS('02_MASTER'!$F:$F,'02_MASTER'!$B:$B,"DK.ECM.ENT.TRN",'02_MASTER'!$E:$E,2014)))-1</f>
        <v/>
      </c>
      <c r="C10" s="28" t="inlineStr">
        <is>
          <t>%</t>
        </is>
      </c>
      <c r="D10" s="29" t="inlineStr">
        <is>
          <t>Tests the 'enterprise plateau' claim. Intensity nearly doubled.</t>
        </is>
      </c>
    </row>
    <row r="11" ht="30" customHeight="1">
      <c r="A11" s="26" t="inlineStr">
        <is>
          <t>EU e-sales turnover share, change 2014-2024</t>
        </is>
      </c>
      <c r="B11" s="30">
        <f>(IF(COUNTIFS('02_MASTER'!$B:$B,"EU.ECM.ENT.TRN",'02_MASTER'!$E:$E,2024)=0,"",SUMIFS('02_MASTER'!$F:$F,'02_MASTER'!$B:$B,"EU.ECM.ENT.TRN",'02_MASTER'!$E:$E,2024))/IF(COUNTIFS('02_MASTER'!$B:$B,"EU.ECM.ENT.TRN",'02_MASTER'!$E:$E,2014)=0,"",SUMIFS('02_MASTER'!$F:$F,'02_MASTER'!$B:$B,"EU.ECM.ENT.TRN",'02_MASTER'!$E:$E,2014)))-1</f>
        <v/>
      </c>
      <c r="C11" s="28" t="inlineStr">
        <is>
          <t>%</t>
        </is>
      </c>
      <c r="D11" s="29" t="inlineStr">
        <is>
          <t>Comparator for the line above.</t>
        </is>
      </c>
    </row>
    <row r="12" ht="30" customHeight="1">
      <c r="A12" s="26" t="inlineStr">
        <is>
          <t>DK lead over EU on e-sales turnover, 2024</t>
        </is>
      </c>
      <c r="B12" s="31">
        <f>IF(COUNTIFS('02_MASTER'!$B:$B,"DK.ECM.ENT.TRN",'02_MASTER'!$E:$E,2024)=0,"",SUMIFS('02_MASTER'!$F:$F,'02_MASTER'!$B:$B,"DK.ECM.ENT.TRN",'02_MASTER'!$E:$E,2024))-IF(COUNTIFS('02_MASTER'!$B:$B,"EU.ECM.ENT.TRN",'02_MASTER'!$E:$E,2024)=0,"",SUMIFS('02_MASTER'!$F:$F,'02_MASTER'!$B:$B,"EU.ECM.ENT.TRN",'02_MASTER'!$E:$E,2024))</f>
        <v/>
      </c>
      <c r="C12" s="28" t="inlineStr">
        <is>
          <t>pp</t>
        </is>
      </c>
      <c r="D12" s="29" t="inlineStr">
        <is>
          <t>Denmark's margin over the EU average.</t>
        </is>
      </c>
    </row>
    <row r="13" ht="30" customHeight="1">
      <c r="A13" s="26" t="inlineStr">
        <is>
          <t>Exclusion ratio: difficulty vs formal exemption</t>
        </is>
      </c>
      <c r="B13" s="31">
        <f>IF(COUNTIFS('02_MASTER'!$B:$B,"DK.DGX.DIFF",'02_MASTER'!$E:$E,2026)=0,"",SUMIFS('02_MASTER'!$F:$F,'02_MASTER'!$B:$B,"DK.DGX.DIFF",'02_MASTER'!$E:$E,2026))/IF(COUNTIFS('02_MASTER'!$B:$B,"DK.DGP.EXMP",'02_MASTER'!$E:$E,2026)=0,"",SUMIFS('02_MASTER'!$F:$F,'02_MASTER'!$B:$B,"DK.DGP.EXMP",'02_MASTER'!$E:$E,2026))</f>
        <v/>
      </c>
      <c r="C13" s="28" t="inlineStr">
        <is>
          <t>ratio</t>
        </is>
      </c>
      <c r="D13" s="29" t="inlineStr">
        <is>
          <t>How many times larger the capability measure is than the administrative one. The core Q4 statistic.</t>
        </is>
      </c>
    </row>
    <row r="14" ht="30" customHeight="1">
      <c r="A14" s="26" t="inlineStr">
        <is>
          <t>Citizens struggling but NOT exempt</t>
        </is>
      </c>
      <c r="B14" s="31">
        <f>IF(COUNTIFS('02_MASTER'!$B:$B,"DK.DGX.DIFF",'02_MASTER'!$E:$E,2026)=0,"",SUMIFS('02_MASTER'!$F:$F,'02_MASTER'!$B:$B,"DK.DGX.DIFF",'02_MASTER'!$E:$E,2026))-IF(COUNTIFS('02_MASTER'!$B:$B,"DK.DGP.EXMP",'02_MASTER'!$E:$E,2026)=0,"",SUMIFS('02_MASTER'!$F:$F,'02_MASTER'!$B:$B,"DK.DGP.EXMP",'02_MASTER'!$E:$E,2026))</f>
        <v/>
      </c>
      <c r="C14" s="28" t="inlineStr">
        <is>
          <t>pp</t>
        </is>
      </c>
      <c r="D14" s="29" t="inlineStr">
        <is>
          <t>Population facing difficulty without statutory relief.</t>
        </is>
      </c>
    </row>
    <row r="15" ht="30" customHeight="1">
      <c r="A15" s="26" t="inlineStr">
        <is>
          <t>Digital skills gap, 16-24 vs 55-74</t>
        </is>
      </c>
      <c r="B15" s="31">
        <f>IF(COUNTIFS('02_MASTER'!$B:$B,"DK.SKL.1624",'02_MASTER'!$E:$E,2025)=0,"",SUMIFS('02_MASTER'!$F:$F,'02_MASTER'!$B:$B,"DK.SKL.1624",'02_MASTER'!$E:$E,2025))-IF(COUNTIFS('02_MASTER'!$B:$B,"DK.SKL.5574",'02_MASTER'!$E:$E,2025)=0,"",SUMIFS('02_MASTER'!$F:$F,'02_MASTER'!$B:$B,"DK.SKL.5574",'02_MASTER'!$E:$E,2025))</f>
        <v/>
      </c>
      <c r="C15" s="28" t="inlineStr">
        <is>
          <t>pp</t>
        </is>
      </c>
      <c r="D15" s="29" t="inlineStr">
        <is>
          <t>Generational gradient in basic digital skills.</t>
        </is>
      </c>
    </row>
    <row r="16" ht="30" customHeight="1">
      <c r="A16" s="26" t="inlineStr">
        <is>
          <t>AI adoption gap, large firms vs SMEs</t>
        </is>
      </c>
      <c r="B16" s="31">
        <f>IF(COUNTIFS('02_MASTER'!$B:$B,"DK.ENT.AI.LRG",'02_MASTER'!$E:$E,2025)=0,"",SUMIFS('02_MASTER'!$F:$F,'02_MASTER'!$B:$B,"DK.ENT.AI.LRG",'02_MASTER'!$E:$E,2025))-IF(COUNTIFS('02_MASTER'!$B:$B,"DK.ENT.AI.SME",'02_MASTER'!$E:$E,2025)=0,"",SUMIFS('02_MASTER'!$F:$F,'02_MASTER'!$B:$B,"DK.ENT.AI.SME",'02_MASTER'!$E:$E,2025))</f>
        <v/>
      </c>
      <c r="C16" s="28" t="inlineStr">
        <is>
          <t>pp</t>
        </is>
      </c>
      <c r="D16" s="29" t="inlineStr">
        <is>
          <t>Depth-of-adoption gap behind the 'breadth without depth' finding.</t>
        </is>
      </c>
    </row>
    <row r="17" ht="30" customHeight="1">
      <c r="A17" s="26" t="inlineStr">
        <is>
          <t>DK shortfall vs EU, citizen digital public services</t>
        </is>
      </c>
      <c r="B17" s="31">
        <f>IF(COUNTIFS('02_MASTER'!$B:$B,"DK.GOV.DPS.CIT",'02_MASTER'!$E:$E,2025)=0,"",SUMIFS('02_MASTER'!$F:$F,'02_MASTER'!$B:$B,"DK.GOV.DPS.CIT",'02_MASTER'!$E:$E,2025))-IF(COUNTIFS('02_MASTER'!$B:$B,"EU.GOV.DPS.CIT",'02_MASTER'!$E:$E,2025)=0,"",SUMIFS('02_MASTER'!$F:$F,'02_MASTER'!$B:$B,"EU.GOV.DPS.CIT",'02_MASTER'!$E:$E,2025))</f>
        <v/>
      </c>
      <c r="C17" s="28" t="inlineStr">
        <is>
          <t>points</t>
        </is>
      </c>
      <c r="D17" s="29" t="inlineStr">
        <is>
          <t>Negative: Denmark scores below the EU average.</t>
        </is>
      </c>
    </row>
    <row r="18" ht="30" customHeight="1">
      <c r="A18" s="26" t="inlineStr">
        <is>
          <t>DK shortfall vs EU, ICT waste recycling</t>
        </is>
      </c>
      <c r="B18" s="31">
        <f>IF(COUNTIFS('02_MASTER'!$B:$B,"DK.ENV.WEEE",'02_MASTER'!$E:$E,2023)=0,"",SUMIFS('02_MASTER'!$F:$F,'02_MASTER'!$B:$B,"DK.ENV.WEEE",'02_MASTER'!$E:$E,2023))-IF(COUNTIFS('02_MASTER'!$B:$B,"EU.ENV.WEEE",'02_MASTER'!$E:$E,2023)=0,"",SUMIFS('02_MASTER'!$F:$F,'02_MASTER'!$B:$B,"EU.ENV.WEEE",'02_MASTER'!$E:$E,2023))</f>
        <v/>
      </c>
      <c r="C18" s="28" t="inlineStr">
        <is>
          <t>pp</t>
        </is>
      </c>
      <c r="D18" s="29" t="inlineStr">
        <is>
          <t>Negative and large - candidate SDG evidence.</t>
        </is>
      </c>
    </row>
    <row r="19" ht="30" customHeight="1">
      <c r="A19" s="26" t="inlineStr">
        <is>
          <t>Trust in digital public solutions, change 2024-2025</t>
        </is>
      </c>
      <c r="B19" s="31">
        <f>IF(COUNTIFS('02_MASTER'!$B:$B,"DK.TRU.DPS",'02_MASTER'!$E:$E,2025)=0,"",SUMIFS('02_MASTER'!$F:$F,'02_MASTER'!$B:$B,"DK.TRU.DPS",'02_MASTER'!$E:$E,2025))-IF(COUNTIFS('02_MASTER'!$B:$B,"DK.TRU.DPS",'02_MASTER'!$E:$E,2024)=0,"",SUMIFS('02_MASTER'!$F:$F,'02_MASTER'!$B:$B,"DK.TRU.DPS",'02_MASTER'!$E:$E,2024))</f>
        <v/>
      </c>
      <c r="C19" s="28" t="inlineStr">
        <is>
          <t>pp</t>
        </is>
      </c>
      <c r="D19" s="29" t="inlineStr">
        <is>
          <t>Trust rising while the mandate is in force.</t>
        </is>
      </c>
    </row>
    <row r="20" ht="30" customHeight="1">
      <c r="A20" s="26" t="inlineStr">
        <is>
          <t>Perceived security of Digital Post, change 2017-2025</t>
        </is>
      </c>
      <c r="B20" s="31">
        <f>IF(COUNTIFS('02_MASTER'!$B:$B,"DK.TRU.DGP.SEC",'02_MASTER'!$E:$E,2025)=0,"",SUMIFS('02_MASTER'!$F:$F,'02_MASTER'!$B:$B,"DK.TRU.DGP.SEC",'02_MASTER'!$E:$E,2025))-IF(COUNTIFS('02_MASTER'!$B:$B,"DK.TRU.DGP.SEC",'02_MASTER'!$E:$E,2017)=0,"",SUMIFS('02_MASTER'!$F:$F,'02_MASTER'!$B:$B,"DK.TRU.DGP.SEC",'02_MASTER'!$E:$E,2017))</f>
        <v/>
      </c>
      <c r="C20" s="28" t="inlineStr">
        <is>
          <t>pp</t>
        </is>
      </c>
      <c r="D20" s="29" t="inlineStr">
        <is>
          <t>Trust in the mandated system over the mandate period (CLO4).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12" customWidth="1" min="1" max="1"/>
    <col width="16" customWidth="1" min="2" max="2"/>
  </cols>
  <sheetData>
    <row r="1" ht="22" customHeight="1">
      <c r="A1" s="7" t="inlineStr">
        <is>
          <t>Figure 1 - Denmark's bank branch network, 2004-2024</t>
        </is>
      </c>
    </row>
    <row r="2">
      <c r="A2" s="25" t="inlineStr">
        <is>
          <t>Series DK.FIN.BRCH. Values are formula lookups from 02_MASTER.</t>
        </is>
      </c>
    </row>
    <row r="4" ht="28" customHeight="1">
      <c r="A4" s="8" t="inlineStr">
        <is>
          <t>year</t>
        </is>
      </c>
      <c r="B4" s="8" t="inlineStr">
        <is>
          <t>bank branches</t>
        </is>
      </c>
    </row>
    <row r="5">
      <c r="A5" s="26" t="n">
        <v>2004</v>
      </c>
      <c r="B5" s="27">
        <f>IF(COUNTIFS('02_MASTER'!$B:$B,"DK.FIN.BRCH",'02_MASTER'!$E:$E,2004)=0,"",SUMIFS('02_MASTER'!$F:$F,'02_MASTER'!$B:$B,"DK.FIN.BRCH",'02_MASTER'!$E:$E,2004))</f>
        <v/>
      </c>
    </row>
    <row r="6">
      <c r="A6" s="26" t="n">
        <v>2006</v>
      </c>
      <c r="B6" s="27">
        <f>IF(COUNTIFS('02_MASTER'!$B:$B,"DK.FIN.BRCH",'02_MASTER'!$E:$E,2006)=0,"",SUMIFS('02_MASTER'!$F:$F,'02_MASTER'!$B:$B,"DK.FIN.BRCH",'02_MASTER'!$E:$E,2006))</f>
        <v/>
      </c>
    </row>
    <row r="7">
      <c r="A7" s="26" t="n">
        <v>2010</v>
      </c>
      <c r="B7" s="27">
        <f>IF(COUNTIFS('02_MASTER'!$B:$B,"DK.FIN.BRCH",'02_MASTER'!$E:$E,2010)=0,"",SUMIFS('02_MASTER'!$F:$F,'02_MASTER'!$B:$B,"DK.FIN.BRCH",'02_MASTER'!$E:$E,2010))</f>
        <v/>
      </c>
    </row>
    <row r="8">
      <c r="A8" s="26" t="n">
        <v>2016</v>
      </c>
      <c r="B8" s="27">
        <f>IF(COUNTIFS('02_MASTER'!$B:$B,"DK.FIN.BRCH",'02_MASTER'!$E:$E,2016)=0,"",SUMIFS('02_MASTER'!$F:$F,'02_MASTER'!$B:$B,"DK.FIN.BRCH",'02_MASTER'!$E:$E,2016))</f>
        <v/>
      </c>
    </row>
    <row r="9">
      <c r="A9" s="26" t="n">
        <v>2021</v>
      </c>
      <c r="B9" s="27">
        <f>IF(COUNTIFS('02_MASTER'!$B:$B,"DK.FIN.BRCH",'02_MASTER'!$E:$E,2021)=0,"",SUMIFS('02_MASTER'!$F:$F,'02_MASTER'!$B:$B,"DK.FIN.BRCH",'02_MASTER'!$E:$E,2021))</f>
        <v/>
      </c>
    </row>
    <row r="10">
      <c r="A10" s="26" t="n">
        <v>2024</v>
      </c>
      <c r="B10" s="27">
        <f>IF(COUNTIFS('02_MASTER'!$B:$B,"DK.FIN.BRCH",'02_MASTER'!$E:$E,2024)=0,"",SUMIFS('02_MASTER'!$F:$F,'02_MASTER'!$B:$B,"DK.FIN.BRCH",'02_MASTER'!$E:$E,2024))</f>
        <v/>
      </c>
    </row>
    <row r="12">
      <c r="A12" s="32" t="inlineStr">
        <is>
          <t>Source: Finans Danmark, Institutter, filialer &amp; ansatte (FD1). Note: years are unevenly spaced, so the chart uses a numeric X axis - a category axis would imply a constant rate of decline that the data does not show.</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B22"/>
  <sheetViews>
    <sheetView showGridLines="0" workbookViewId="0">
      <selection activeCell="A1" sqref="A1"/>
    </sheetView>
  </sheetViews>
  <sheetFormatPr baseColWidth="8" defaultRowHeight="15"/>
  <cols>
    <col width="30" customWidth="1" min="1" max="1"/>
    <col width="30" customWidth="1" min="2" max="2"/>
  </cols>
  <sheetData>
    <row r="1" ht="22" customHeight="1">
      <c r="A1" s="7" t="inlineStr">
        <is>
          <t>Figure 2 - Cash displacement in Danish physical retail</t>
        </is>
      </c>
    </row>
    <row r="2">
      <c r="A2" s="25" t="inlineStr">
        <is>
          <t>Denominator throughout: share of the NUMBER of in-store payments.</t>
        </is>
      </c>
    </row>
    <row r="4">
      <c r="A4" s="3" t="inlineStr">
        <is>
          <t>Panel A - Cash share of in-store payments</t>
        </is>
      </c>
    </row>
    <row r="5" ht="28" customHeight="1">
      <c r="A5" s="8" t="inlineStr">
        <is>
          <t>year</t>
        </is>
      </c>
      <c r="B5" s="8" t="inlineStr">
        <is>
          <t>cash (%)</t>
        </is>
      </c>
    </row>
    <row r="6">
      <c r="A6" s="26" t="n">
        <v>2017</v>
      </c>
      <c r="B6" s="33">
        <f>IF(COUNTIFS('02_MASTER'!$B:$B,"DK.PAY.CASH.POS",'02_MASTER'!$E:$E,2017)=0,"",SUMIFS('02_MASTER'!$F:$F,'02_MASTER'!$B:$B,"DK.PAY.CASH.POS",'02_MASTER'!$E:$E,2017))</f>
        <v/>
      </c>
    </row>
    <row r="7">
      <c r="A7" s="26" t="n">
        <v>2023</v>
      </c>
      <c r="B7" s="33">
        <f>IF(COUNTIFS('02_MASTER'!$B:$B,"DK.PAY.CASH.POS",'02_MASTER'!$E:$E,2023)=0,"",SUMIFS('02_MASTER'!$F:$F,'02_MASTER'!$B:$B,"DK.PAY.CASH.POS",'02_MASTER'!$E:$E,2023))</f>
        <v/>
      </c>
    </row>
    <row r="8">
      <c r="A8" s="26" t="n">
        <v>2025</v>
      </c>
      <c r="B8" s="33">
        <f>IF(COUNTIFS('02_MASTER'!$B:$B,"DK.PAY.CASH.POS",'02_MASTER'!$E:$E,2025)=0,"",SUMIFS('02_MASTER'!$F:$F,'02_MASTER'!$B:$B,"DK.PAY.CASH.POS",'02_MASTER'!$E:$E,2025))</f>
        <v/>
      </c>
    </row>
    <row r="10">
      <c r="A10" s="3" t="inlineStr">
        <is>
          <t>Panel B - Composition of in-store payments, 2025</t>
        </is>
      </c>
    </row>
    <row r="11" ht="28" customHeight="1">
      <c r="A11" s="8" t="inlineStr">
        <is>
          <t>instrument</t>
        </is>
      </c>
      <c r="B11" s="8" t="inlineStr">
        <is>
          <t>share of payments (%)</t>
        </is>
      </c>
    </row>
    <row r="12">
      <c r="A12" s="26" t="inlineStr">
        <is>
          <t>Physical payment card</t>
        </is>
      </c>
      <c r="B12" s="33">
        <f>IF(COUNTIFS('02_MASTER'!$B:$B,"DK.PAY.CRD.PHYS",'02_MASTER'!$E:$E,2025)=0,"",SUMIFS('02_MASTER'!$F:$F,'02_MASTER'!$B:$B,"DK.PAY.CRD.PHYS",'02_MASTER'!$E:$E,2025))</f>
        <v/>
      </c>
    </row>
    <row r="13">
      <c r="A13" s="26" t="inlineStr">
        <is>
          <t>Mobile wallet (card-based)</t>
        </is>
      </c>
      <c r="B13" s="33">
        <f>IF(COUNTIFS('02_MASTER'!$B:$B,"DK.PAY.WLT.SHR",'02_MASTER'!$E:$E,2025)=0,"",SUMIFS('02_MASTER'!$F:$F,'02_MASTER'!$B:$B,"DK.PAY.WLT.SHR",'02_MASTER'!$E:$E,2025))</f>
        <v/>
      </c>
    </row>
    <row r="14">
      <c r="A14" s="26" t="inlineStr">
        <is>
          <t>Cash</t>
        </is>
      </c>
      <c r="B14" s="33">
        <f>IF(COUNTIFS('02_MASTER'!$B:$B,"DK.PAY.CASH.POS",'02_MASTER'!$E:$E,2025)=0,"",SUMIFS('02_MASTER'!$F:$F,'02_MASTER'!$B:$B,"DK.PAY.CASH.POS",'02_MASTER'!$E:$E,2025))</f>
        <v/>
      </c>
    </row>
    <row r="16">
      <c r="A16" s="3" t="inlineStr">
        <is>
          <t>MEMO - different denominator, not charted above</t>
        </is>
      </c>
    </row>
    <row r="17" ht="28" customHeight="1">
      <c r="A17" s="8" t="inlineStr">
        <is>
          <t>year</t>
        </is>
      </c>
      <c r="B17" s="8" t="inlineStr">
        <is>
          <t>citizens holding a mobile wallet (%)</t>
        </is>
      </c>
    </row>
    <row r="18">
      <c r="A18" s="26" t="n">
        <v>2019</v>
      </c>
      <c r="B18" s="34">
        <f>IF(COUNTIFS('02_MASTER'!$B:$B,"DK.PAY.WLT.OWN",'02_MASTER'!$E:$E,2019)=0,"",SUMIFS('02_MASTER'!$F:$F,'02_MASTER'!$B:$B,"DK.PAY.WLT.OWN",'02_MASTER'!$E:$E,2019))</f>
        <v/>
      </c>
    </row>
    <row r="19">
      <c r="A19" s="26" t="n">
        <v>2023</v>
      </c>
      <c r="B19" s="34">
        <f>IF(COUNTIFS('02_MASTER'!$B:$B,"DK.PAY.WLT.OWN",'02_MASTER'!$E:$E,2023)=0,"",SUMIFS('02_MASTER'!$F:$F,'02_MASTER'!$B:$B,"DK.PAY.WLT.OWN",'02_MASTER'!$E:$E,2023))</f>
        <v/>
      </c>
    </row>
    <row r="20">
      <c r="A20" s="26" t="n">
        <v>2025</v>
      </c>
      <c r="B20" s="34">
        <f>IF(COUNTIFS('02_MASTER'!$B:$B,"DK.PAY.WLT.OWN",'02_MASTER'!$E:$E,2025)=0,"",SUMIFS('02_MASTER'!$F:$F,'02_MASTER'!$B:$B,"DK.PAY.WLT.OWN",'02_MASTER'!$E:$E,2025))</f>
        <v/>
      </c>
    </row>
    <row r="22">
      <c r="A22" s="32" t="inlineStr">
        <is>
          <t>Source: Danmarks Nationalbank, Danskernes betalingsvaner (NB1). Panel B sums to 95%, not 100%: the residual is other digital instruments (chiefly account transfers and non-card mobile payments). Wallet payments ARE card payments settled through a phone, so the wallet and physical-card rows must not be added to produce a 'card' total. The memo series is excluded from both panels because its denominator is % of citizens, not % of payments. Physical card and wallet shares are observed in 2025 only, so no time series is drawn for them - a two-point line through an unobserved middle would assert a path the data does not contain.</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15"/>
  <sheetViews>
    <sheetView showGridLines="0" workbookViewId="0">
      <selection activeCell="A1" sqref="A1"/>
    </sheetView>
  </sheetViews>
  <sheetFormatPr baseColWidth="8" defaultRowHeight="15"/>
  <cols>
    <col width="40" customWidth="1" min="1" max="1"/>
    <col width="14" customWidth="1" min="2" max="2"/>
    <col width="26" customWidth="1" min="3" max="3"/>
  </cols>
  <sheetData>
    <row r="1" ht="22" customHeight="1">
      <c r="A1" s="7" t="inlineStr">
        <is>
          <t>Figure 3 - E-sales as a share of enterprise turnover, DK vs EU</t>
        </is>
      </c>
    </row>
    <row r="2">
      <c r="A2" s="25" t="inlineStr">
        <is>
          <t>Tests the 'enterprise plateau' claim: intensity nearly doubled.</t>
        </is>
      </c>
    </row>
    <row r="4" ht="28" customHeight="1">
      <c r="A4" s="8" t="inlineStr">
        <is>
          <t>year</t>
        </is>
      </c>
      <c r="B4" s="8" t="inlineStr">
        <is>
          <t>Denmark</t>
        </is>
      </c>
      <c r="C4" s="8" t="inlineStr">
        <is>
          <t>EU-27</t>
        </is>
      </c>
    </row>
    <row r="5">
      <c r="A5" s="26" t="n">
        <v>2014</v>
      </c>
      <c r="B5" s="35">
        <f>IF(COUNTIFS('02_MASTER'!$B:$B,"DK.ECM.ENT.TRN",'02_MASTER'!$E:$E,2014)=0,"",SUMIFS('02_MASTER'!$F:$F,'02_MASTER'!$B:$B,"DK.ECM.ENT.TRN",'02_MASTER'!$E:$E,2014))</f>
        <v/>
      </c>
      <c r="C5" s="35">
        <f>IF(COUNTIFS('02_MASTER'!$B:$B,"EU.ECM.ENT.TRN",'02_MASTER'!$E:$E,2014)=0,"",SUMIFS('02_MASTER'!$F:$F,'02_MASTER'!$B:$B,"EU.ECM.ENT.TRN",'02_MASTER'!$E:$E,2014))</f>
        <v/>
      </c>
    </row>
    <row r="6">
      <c r="A6" s="26" t="n">
        <v>2024</v>
      </c>
      <c r="B6" s="35">
        <f>IF(COUNTIFS('02_MASTER'!$B:$B,"DK.ECM.ENT.TRN",'02_MASTER'!$E:$E,2024)=0,"",SUMIFS('02_MASTER'!$F:$F,'02_MASTER'!$B:$B,"DK.ECM.ENT.TRN",'02_MASTER'!$E:$E,2024))</f>
        <v/>
      </c>
      <c r="C6" s="35">
        <f>IF(COUNTIFS('02_MASTER'!$B:$B,"EU.ECM.ENT.TRN",'02_MASTER'!$E:$E,2024)=0,"",SUMIFS('02_MASTER'!$F:$F,'02_MASTER'!$B:$B,"EU.ECM.ENT.TRN",'02_MASTER'!$E:$E,2024))</f>
        <v/>
      </c>
    </row>
    <row r="9">
      <c r="A9" s="3" t="inlineStr">
        <is>
          <t>CONTEXT - breadth vs intensity, 2024</t>
        </is>
      </c>
    </row>
    <row r="10" ht="28" customHeight="1">
      <c r="A10" s="8" t="inlineStr">
        <is>
          <t>measure</t>
        </is>
      </c>
      <c r="B10" s="8" t="inlineStr">
        <is>
          <t>Denmark</t>
        </is>
      </c>
      <c r="C10" s="8" t="inlineStr">
        <is>
          <t>EU / leader</t>
        </is>
      </c>
    </row>
    <row r="11">
      <c r="A11" s="26" t="inlineStr">
        <is>
          <t>Enterprises making e-sales (%)</t>
        </is>
      </c>
      <c r="B11" s="31">
        <f>IF(COUNTIFS('02_MASTER'!$B:$B,"DK.ECM.ENT.SHR",'02_MASTER'!$E:$E,2024)=0,"",SUMIFS('02_MASTER'!$F:$F,'02_MASTER'!$B:$B,"DK.ECM.ENT.SHR",'02_MASTER'!$E:$E,2024))</f>
        <v/>
      </c>
      <c r="C11" s="28" t="inlineStr">
        <is>
          <t>Lithuania 43.03 (highest)</t>
        </is>
      </c>
    </row>
    <row r="12">
      <c r="A12" s="26" t="inlineStr">
        <is>
          <t>E-sales share of turnover (%)</t>
        </is>
      </c>
      <c r="B12" s="31">
        <f>IF(COUNTIFS('02_MASTER'!$B:$B,"DK.ECM.ENT.TRN",'02_MASTER'!$E:$E,2024)=0,"",SUMIFS('02_MASTER'!$F:$F,'02_MASTER'!$B:$B,"DK.ECM.ENT.TRN",'02_MASTER'!$E:$E,2024))</f>
        <v/>
      </c>
      <c r="C12" s="28" t="inlineStr">
        <is>
          <t>Ireland 38.25 (highest)</t>
        </is>
      </c>
    </row>
    <row r="13">
      <c r="A13" s="26" t="inlineStr">
        <is>
          <t>EU average, e-sales share of turnover (%)</t>
        </is>
      </c>
      <c r="B13" s="31">
        <f>IF(COUNTIFS('02_MASTER'!$B:$B,"EU.ECM.ENT.TRN",'02_MASTER'!$E:$E,2024)=0,"",SUMIFS('02_MASTER'!$F:$F,'02_MASTER'!$B:$B,"EU.ECM.ENT.TRN",'02_MASTER'!$E:$E,2024))</f>
        <v/>
      </c>
      <c r="C13" s="28" t="inlineStr"/>
    </row>
    <row r="15">
      <c r="A15" s="32" t="inlineStr">
        <is>
          <t>Source: Eurostat (ES5). Reading: Denmark's e-sales share of turnover rose from 17.05% to 33.31% while the EU average moved from 16.43% to 19.49%. Breadth of adoption is flat at roughly 38% of enterprises; intensity nearly doubled. The growth came from incumbents selling more online, not from new firms entering.</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7"/>
  <sheetViews>
    <sheetView showGridLines="0" workbookViewId="0">
      <selection activeCell="A1" sqref="A1"/>
    </sheetView>
  </sheetViews>
  <sheetFormatPr baseColWidth="8" defaultRowHeight="15"/>
  <cols>
    <col width="46" customWidth="1" min="1" max="1"/>
    <col width="12" customWidth="1" min="2" max="2"/>
    <col width="34" customWidth="1" min="3" max="3"/>
    <col width="10" customWidth="1" min="4" max="4"/>
  </cols>
  <sheetData>
    <row r="1" ht="22" customHeight="1">
      <c r="A1" s="7" t="inlineStr">
        <is>
          <t>Figure 4 - Five measures of digital exclusion in Denmark</t>
        </is>
      </c>
    </row>
    <row r="2">
      <c r="A2" s="25" t="inlineStr">
        <is>
          <t>Same phenomenon, five definitions. The spread is the finding.</t>
        </is>
      </c>
    </row>
    <row r="4" ht="28" customHeight="1">
      <c r="A4" s="8" t="inlineStr">
        <is>
          <t>measure</t>
        </is>
      </c>
      <c r="B4" s="8" t="inlineStr">
        <is>
          <t>%</t>
        </is>
      </c>
      <c r="C4" s="8" t="inlineStr">
        <is>
          <t>definition basis</t>
        </is>
      </c>
      <c r="D4" s="8" t="inlineStr">
        <is>
          <t>source</t>
        </is>
      </c>
    </row>
    <row r="5">
      <c r="A5" s="26" t="inlineStr">
        <is>
          <t>Formally exempt from Digital Post (Q1 2026)</t>
        </is>
      </c>
      <c r="B5" s="33">
        <f>IF(COUNTIFS('02_MASTER'!$B:$B,"DK.DGP.EXMP",'02_MASTER'!$E:$E,2026)=0,"",SUMIFS('02_MASTER'!$F:$F,'02_MASTER'!$B:$B,"DK.DGP.EXMP",'02_MASTER'!$E:$E,2026))</f>
        <v/>
      </c>
      <c r="C5" s="28" t="inlineStr">
        <is>
          <t>administrative status</t>
        </is>
      </c>
      <c r="D5" s="36" t="inlineStr">
        <is>
          <t>DG1</t>
        </is>
      </c>
    </row>
    <row r="6">
      <c r="A6" s="26" t="inlineStr">
        <is>
          <t>Do not use digital public services at all</t>
        </is>
      </c>
      <c r="B6" s="33">
        <f>IF(COUNTIFS('02_MASTER'!$B:$B,"DK.DGX.NOUSE",'02_MASTER'!$E:$E,2026)=0,"",SUMIFS('02_MASTER'!$F:$F,'02_MASTER'!$B:$B,"DK.DGX.NOUSE",'02_MASTER'!$E:$E,2026))</f>
        <v/>
      </c>
      <c r="C6" s="28" t="inlineStr">
        <is>
          <t>self-reported non-use</t>
        </is>
      </c>
      <c r="D6" s="36" t="inlineStr">
        <is>
          <t>EC1</t>
        </is>
      </c>
    </row>
    <row r="7">
      <c r="A7" s="26" t="inlineStr">
        <is>
          <t>Face difficulties using digital public services</t>
        </is>
      </c>
      <c r="B7" s="33">
        <f>IF(COUNTIFS('02_MASTER'!$B:$B,"DK.DGX.DIFF",'02_MASTER'!$E:$E,2026)=0,"",SUMIFS('02_MASTER'!$F:$F,'02_MASTER'!$B:$B,"DK.DGX.DIFF",'02_MASTER'!$E:$E,2026))</f>
        <v/>
      </c>
      <c r="C7" s="28" t="inlineStr">
        <is>
          <t>capability estimate</t>
        </is>
      </c>
      <c r="D7" s="36" t="inlineStr">
        <is>
          <t>EC1</t>
        </is>
      </c>
    </row>
    <row r="8">
      <c r="A8" s="26" t="inlineStr">
        <is>
          <t>'Digitally disadvantaged' - lower bound</t>
        </is>
      </c>
      <c r="B8" s="33">
        <f>IF(COUNTIFS('02_MASTER'!$B:$B,"DK.DGX.DISADV.LO",'02_MASTER'!$E:$E,2025)=0,"",SUMIFS('02_MASTER'!$F:$F,'02_MASTER'!$B:$B,"DK.DGX.DISADV.LO",'02_MASTER'!$E:$E,2025))</f>
        <v/>
      </c>
      <c r="C8" s="28" t="inlineStr">
        <is>
          <t>capability estimate (range)</t>
        </is>
      </c>
      <c r="D8" s="36" t="inlineStr">
        <is>
          <t>DG2</t>
        </is>
      </c>
    </row>
    <row r="9">
      <c r="A9" s="26" t="inlineStr">
        <is>
          <t>'Digitally disadvantaged' - upper bound</t>
        </is>
      </c>
      <c r="B9" s="33">
        <f>IF(COUNTIFS('02_MASTER'!$B:$B,"DK.DGX.DISADV.HI",'02_MASTER'!$E:$E,2025)=0,"",SUMIFS('02_MASTER'!$F:$F,'02_MASTER'!$B:$B,"DK.DGX.DISADV.HI",'02_MASTER'!$E:$E,2025))</f>
        <v/>
      </c>
      <c r="C9" s="28" t="inlineStr">
        <is>
          <t>capability estimate (range)</t>
        </is>
      </c>
      <c r="D9" s="36" t="inlineStr">
        <is>
          <t>DG2</t>
        </is>
      </c>
    </row>
    <row r="10">
      <c r="A10" s="26" t="inlineStr">
        <is>
          <t>'Digitally disadvantaged' - Justitia</t>
        </is>
      </c>
      <c r="B10" s="33">
        <f>IF(COUNTIFS('02_MASTER'!$B:$B,"DK.DGX.JUST",'02_MASTER'!$E:$E,2022)=0,"",SUMIFS('02_MASTER'!$F:$F,'02_MASTER'!$B:$B,"DK.DGX.JUST",'02_MASTER'!$E:$E,2022))</f>
        <v/>
      </c>
      <c r="C10" s="28" t="inlineStr">
        <is>
          <t>broadest definition</t>
        </is>
      </c>
      <c r="D10" s="36" t="inlineStr">
        <is>
          <t>JU1</t>
        </is>
      </c>
    </row>
    <row r="12">
      <c r="A12" s="3" t="inlineStr">
        <is>
          <t>AGE GRADIENT IN FORMAL EXEMPTION (2022)</t>
        </is>
      </c>
    </row>
    <row r="13" ht="28" customHeight="1">
      <c r="A13" s="8" t="inlineStr">
        <is>
          <t>age group</t>
        </is>
      </c>
      <c r="B13" s="8" t="inlineStr">
        <is>
          <t>exempt (%)</t>
        </is>
      </c>
    </row>
    <row r="14">
      <c r="A14" s="26" t="inlineStr">
        <is>
          <t>Age 75-84</t>
        </is>
      </c>
      <c r="B14" s="34">
        <f>IF(COUNTIFS('02_MASTER'!$B:$B,"DK.DGP.EXMP.7584",'02_MASTER'!$E:$E,2022)=0,"",SUMIFS('02_MASTER'!$F:$F,'02_MASTER'!$B:$B,"DK.DGP.EXMP.7584",'02_MASTER'!$E:$E,2022))</f>
        <v/>
      </c>
    </row>
    <row r="15">
      <c r="A15" s="26" t="inlineStr">
        <is>
          <t>Age 85+</t>
        </is>
      </c>
      <c r="B15" s="34">
        <f>IF(COUNTIFS('02_MASTER'!$B:$B,"DK.DGP.EXMP.85P",'02_MASTER'!$E:$E,2022)=0,"",SUMIFS('02_MASTER'!$F:$F,'02_MASTER'!$B:$B,"DK.DGP.EXMP.85P",'02_MASTER'!$E:$E,2022))</f>
        <v/>
      </c>
    </row>
    <row r="17">
      <c r="A17" s="32" t="inlineStr">
        <is>
          <t>Sources: DG1, DG2, EC1, JU1. Reading: the measures are nested rather than contradictory. Formal exemption (4.7%) is an administrative status; the capability measures are three to five times larger. The statutory exemption regime therefore reaches only a minority of the citizens the state's own agency counts as struggling. Which measure is chosen determines the conclusion - so the choice must be argued, not assumed.</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14"/>
  <sheetViews>
    <sheetView showGridLines="0" workbookViewId="0">
      <selection activeCell="A1" sqref="A1"/>
    </sheetView>
  </sheetViews>
  <sheetFormatPr baseColWidth="8" defaultRowHeight="15"/>
  <cols>
    <col width="22" customWidth="1" min="1" max="1"/>
    <col width="10" customWidth="1" min="2" max="2"/>
    <col width="24" customWidth="1" min="3" max="3"/>
  </cols>
  <sheetData>
    <row r="1" ht="22" customHeight="1">
      <c r="A1" s="7" t="inlineStr">
        <is>
          <t>Figure 5 - Individuals who bought online, 2024</t>
        </is>
      </c>
    </row>
    <row r="2">
      <c r="A2" s="25" t="inlineStr">
        <is>
          <t>Verified EU countries only (8 of 27). Ranked, not a regression.</t>
        </is>
      </c>
    </row>
    <row r="4" ht="28" customHeight="1">
      <c r="A4" s="8" t="inlineStr">
        <is>
          <t>country</t>
        </is>
      </c>
      <c r="B4" s="8" t="inlineStr">
        <is>
          <t>%</t>
        </is>
      </c>
      <c r="C4" s="8" t="inlineStr">
        <is>
          <t>series_code</t>
        </is>
      </c>
    </row>
    <row r="5">
      <c r="A5" s="26" t="inlineStr">
        <is>
          <t>Ireland</t>
        </is>
      </c>
      <c r="B5" s="33">
        <f>IF(COUNTIFS('02_MASTER'!$B:$B,"IE.ECM.IND.BUY",'02_MASTER'!$E:$E,2024)=0,"",SUMIFS('02_MASTER'!$F:$F,'02_MASTER'!$B:$B,"IE.ECM.IND.BUY",'02_MASTER'!$E:$E,2024))</f>
        <v/>
      </c>
      <c r="C5" s="36" t="inlineStr">
        <is>
          <t>IE.ECM.IND.BUY</t>
        </is>
      </c>
    </row>
    <row r="6">
      <c r="A6" s="26" t="inlineStr">
        <is>
          <t>Netherlands</t>
        </is>
      </c>
      <c r="B6" s="33">
        <f>IF(COUNTIFS('02_MASTER'!$B:$B,"NL.ECM.IND.BUY",'02_MASTER'!$E:$E,2024)=0,"",SUMIFS('02_MASTER'!$F:$F,'02_MASTER'!$B:$B,"NL.ECM.IND.BUY",'02_MASTER'!$E:$E,2024))</f>
        <v/>
      </c>
      <c r="C6" s="36" t="inlineStr">
        <is>
          <t>NL.ECM.IND.BUY</t>
        </is>
      </c>
    </row>
    <row r="7">
      <c r="A7" s="26" t="inlineStr">
        <is>
          <t>Denmark</t>
        </is>
      </c>
      <c r="B7" s="33">
        <f>IF(COUNTIFS('02_MASTER'!$B:$B,"DK.ECM.IND.BUY",'02_MASTER'!$E:$E,2024)=0,"",SUMIFS('02_MASTER'!$F:$F,'02_MASTER'!$B:$B,"DK.ECM.IND.BUY",'02_MASTER'!$E:$E,2024))</f>
        <v/>
      </c>
      <c r="C7" s="36" t="inlineStr">
        <is>
          <t>DK.ECM.IND.BUY</t>
        </is>
      </c>
    </row>
    <row r="8">
      <c r="A8" s="26" t="inlineStr">
        <is>
          <t>Germany</t>
        </is>
      </c>
      <c r="B8" s="33">
        <f>IF(COUNTIFS('02_MASTER'!$B:$B,"DE.ECM.IND.BUY",'02_MASTER'!$E:$E,2024)=0,"",SUMIFS('02_MASTER'!$F:$F,'02_MASTER'!$B:$B,"DE.ECM.IND.BUY",'02_MASTER'!$E:$E,2024))</f>
        <v/>
      </c>
      <c r="C8" s="36" t="inlineStr">
        <is>
          <t>DE.ECM.IND.BUY</t>
        </is>
      </c>
    </row>
    <row r="9">
      <c r="A9" s="26" t="inlineStr">
        <is>
          <t>EU-27 average</t>
        </is>
      </c>
      <c r="B9" s="33">
        <f>IF(COUNTIFS('02_MASTER'!$B:$B,"EU.ECM.IND.BUY",'02_MASTER'!$E:$E,2024)=0,"",SUMIFS('02_MASTER'!$F:$F,'02_MASTER'!$B:$B,"EU.ECM.IND.BUY",'02_MASTER'!$E:$E,2024))</f>
        <v/>
      </c>
      <c r="C9" s="36" t="inlineStr">
        <is>
          <t>EU.ECM.IND.BUY</t>
        </is>
      </c>
    </row>
    <row r="10">
      <c r="A10" s="26" t="inlineStr">
        <is>
          <t>Italy</t>
        </is>
      </c>
      <c r="B10" s="33">
        <f>IF(COUNTIFS('02_MASTER'!$B:$B,"IT.ECM.IND.BUY",'02_MASTER'!$E:$E,2024)=0,"",SUMIFS('02_MASTER'!$F:$F,'02_MASTER'!$B:$B,"IT.ECM.IND.BUY",'02_MASTER'!$E:$E,2024))</f>
        <v/>
      </c>
      <c r="C10" s="36" t="inlineStr">
        <is>
          <t>IT.ECM.IND.BUY</t>
        </is>
      </c>
    </row>
    <row r="11">
      <c r="A11" s="26" t="inlineStr">
        <is>
          <t>Romania</t>
        </is>
      </c>
      <c r="B11" s="33">
        <f>IF(COUNTIFS('02_MASTER'!$B:$B,"RO.ECM.IND.BUY",'02_MASTER'!$E:$E,2024)=0,"",SUMIFS('02_MASTER'!$F:$F,'02_MASTER'!$B:$B,"RO.ECM.IND.BUY",'02_MASTER'!$E:$E,2024))</f>
        <v/>
      </c>
      <c r="C11" s="36" t="inlineStr">
        <is>
          <t>RO.ECM.IND.BUY</t>
        </is>
      </c>
    </row>
    <row r="12">
      <c r="A12" s="26" t="inlineStr">
        <is>
          <t>Bulgaria</t>
        </is>
      </c>
      <c r="B12" s="33">
        <f>IF(COUNTIFS('02_MASTER'!$B:$B,"BG.ECM.IND.BUY",'02_MASTER'!$E:$E,2024)=0,"",SUMIFS('02_MASTER'!$F:$F,'02_MASTER'!$B:$B,"BG.ECM.IND.BUY",'02_MASTER'!$E:$E,2024))</f>
        <v/>
      </c>
      <c r="C12" s="36" t="inlineStr">
        <is>
          <t>BG.ECM.IND.BUY</t>
        </is>
      </c>
    </row>
    <row r="14">
      <c r="A14" s="32" t="inlineStr">
        <is>
          <t>Source: Eurostat (ES4). SCOPE LIMIT: 8 of 27 member states were verified, so this sheet presents a ranking and makes no regression claim. To extend it, add the remaining member states to dataset.py using the series_code pattern XX.ECM.IND.BUY and re-run the build; this sheet and its chart will expand automatically. Denominator is % of internet users, not % of individuals.</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D41"/>
  <sheetViews>
    <sheetView showGridLines="0" workbookViewId="0">
      <selection activeCell="A1" sqref="A1"/>
    </sheetView>
  </sheetViews>
  <sheetFormatPr baseColWidth="8" defaultRowHeight="15"/>
  <cols>
    <col width="20" customWidth="1" min="1" max="1"/>
    <col width="8" customWidth="1" min="2" max="2"/>
    <col width="74" customWidth="1" min="3" max="3"/>
    <col width="30" customWidth="1" min="4" max="4"/>
  </cols>
  <sheetData>
    <row r="1" ht="22" customHeight="1">
      <c r="A1" s="7" t="inlineStr">
        <is>
          <t>Figure 6 - Does more digital adoption mean more economic activity?</t>
        </is>
      </c>
    </row>
    <row r="2">
      <c r="A2" s="25" t="inlineStr">
        <is>
          <t>EU cross-section, 2024. X = consumer adoption. Y = share of enterprise turnover from e-sales.</t>
        </is>
      </c>
    </row>
    <row r="4" ht="28" customHeight="1">
      <c r="A4" s="8" t="inlineStr">
        <is>
          <t>country</t>
        </is>
      </c>
      <c r="B4" s="8" t="inlineStr">
        <is>
          <t>code</t>
        </is>
      </c>
      <c r="C4" s="8" t="inlineStr">
        <is>
          <t>X: individuals buying online (%)</t>
        </is>
      </c>
      <c r="D4" s="8" t="inlineStr">
        <is>
          <t>Y: e-sales share of turnover (%)</t>
        </is>
      </c>
    </row>
    <row r="5">
      <c r="A5" s="26" t="inlineStr">
        <is>
          <t>Bulgaria</t>
        </is>
      </c>
      <c r="B5" s="36" t="inlineStr">
        <is>
          <t>BG</t>
        </is>
      </c>
      <c r="C5" s="31">
        <f>IF(COUNTIFS('02_MASTER'!$B:$B,"BG.ECM.IND.BUY",'02_MASTER'!$E:$E,2024)=0,"",SUMIFS('02_MASTER'!$F:$F,'02_MASTER'!$B:$B,"BG.ECM.IND.BUY",'02_MASTER'!$E:$E,2024))</f>
        <v/>
      </c>
      <c r="D5" s="31">
        <f>IF(COUNTIFS('02_MASTER'!$B:$B,"BG.ECM.ENT.TRN",'02_MASTER'!$E:$E,2024)=0,"",SUMIFS('02_MASTER'!$F:$F,'02_MASTER'!$B:$B,"BG.ECM.ENT.TRN",'02_MASTER'!$E:$E,2024))</f>
        <v/>
      </c>
    </row>
    <row r="6">
      <c r="A6" s="26" t="inlineStr">
        <is>
          <t>Germany</t>
        </is>
      </c>
      <c r="B6" s="36" t="inlineStr">
        <is>
          <t>DE</t>
        </is>
      </c>
      <c r="C6" s="31">
        <f>IF(COUNTIFS('02_MASTER'!$B:$B,"DE.ECM.IND.BUY",'02_MASTER'!$E:$E,2024)=0,"",SUMIFS('02_MASTER'!$F:$F,'02_MASTER'!$B:$B,"DE.ECM.IND.BUY",'02_MASTER'!$E:$E,2024))</f>
        <v/>
      </c>
      <c r="D6" s="31">
        <f>IF(COUNTIFS('02_MASTER'!$B:$B,"DE.ECM.ENT.TRN",'02_MASTER'!$E:$E,2024)=0,"",SUMIFS('02_MASTER'!$F:$F,'02_MASTER'!$B:$B,"DE.ECM.ENT.TRN",'02_MASTER'!$E:$E,2024))</f>
        <v/>
      </c>
    </row>
    <row r="7">
      <c r="A7" s="26" t="inlineStr">
        <is>
          <t>Denmark</t>
        </is>
      </c>
      <c r="B7" s="36" t="inlineStr">
        <is>
          <t>DK</t>
        </is>
      </c>
      <c r="C7" s="31">
        <f>IF(COUNTIFS('02_MASTER'!$B:$B,"DK.ECM.IND.BUY",'02_MASTER'!$E:$E,2024)=0,"",SUMIFS('02_MASTER'!$F:$F,'02_MASTER'!$B:$B,"DK.ECM.IND.BUY",'02_MASTER'!$E:$E,2024))</f>
        <v/>
      </c>
      <c r="D7" s="31">
        <f>IF(COUNTIFS('02_MASTER'!$B:$B,"DK.ECM.ENT.TRN",'02_MASTER'!$E:$E,2024)=0,"",SUMIFS('02_MASTER'!$F:$F,'02_MASTER'!$B:$B,"DK.ECM.ENT.TRN",'02_MASTER'!$E:$E,2024))</f>
        <v/>
      </c>
    </row>
    <row r="8">
      <c r="A8" s="26" t="inlineStr">
        <is>
          <t>Hungary</t>
        </is>
      </c>
      <c r="B8" s="36" t="inlineStr">
        <is>
          <t>HU</t>
        </is>
      </c>
      <c r="C8" s="31">
        <f>IF(COUNTIFS('02_MASTER'!$B:$B,"HU.ECM.IND.BUY",'02_MASTER'!$E:$E,2024)=0,"",SUMIFS('02_MASTER'!$F:$F,'02_MASTER'!$B:$B,"HU.ECM.IND.BUY",'02_MASTER'!$E:$E,2024))</f>
        <v/>
      </c>
      <c r="D8" s="31">
        <f>IF(COUNTIFS('02_MASTER'!$B:$B,"HU.ECM.ENT.TRN",'02_MASTER'!$E:$E,2024)=0,"",SUMIFS('02_MASTER'!$F:$F,'02_MASTER'!$B:$B,"HU.ECM.ENT.TRN",'02_MASTER'!$E:$E,2024))</f>
        <v/>
      </c>
    </row>
    <row r="9">
      <c r="A9" s="26" t="inlineStr">
        <is>
          <t>Ireland</t>
        </is>
      </c>
      <c r="B9" s="36" t="inlineStr">
        <is>
          <t>IE</t>
        </is>
      </c>
      <c r="C9" s="31">
        <f>IF(COUNTIFS('02_MASTER'!$B:$B,"IE.ECM.IND.BUY",'02_MASTER'!$E:$E,2024)=0,"",SUMIFS('02_MASTER'!$F:$F,'02_MASTER'!$B:$B,"IE.ECM.IND.BUY",'02_MASTER'!$E:$E,2024))</f>
        <v/>
      </c>
      <c r="D9" s="31">
        <f>IF(COUNTIFS('02_MASTER'!$B:$B,"IE.ECM.ENT.TRN",'02_MASTER'!$E:$E,2024)=0,"",SUMIFS('02_MASTER'!$F:$F,'02_MASTER'!$B:$B,"IE.ECM.ENT.TRN",'02_MASTER'!$E:$E,2024))</f>
        <v/>
      </c>
    </row>
    <row r="10">
      <c r="A10" s="26" t="inlineStr">
        <is>
          <t>Italy</t>
        </is>
      </c>
      <c r="B10" s="36" t="inlineStr">
        <is>
          <t>IT</t>
        </is>
      </c>
      <c r="C10" s="31">
        <f>IF(COUNTIFS('02_MASTER'!$B:$B,"IT.ECM.IND.BUY",'02_MASTER'!$E:$E,2024)=0,"",SUMIFS('02_MASTER'!$F:$F,'02_MASTER'!$B:$B,"IT.ECM.IND.BUY",'02_MASTER'!$E:$E,2024))</f>
        <v/>
      </c>
      <c r="D10" s="31">
        <f>IF(COUNTIFS('02_MASTER'!$B:$B,"IT.ECM.ENT.TRN",'02_MASTER'!$E:$E,2024)=0,"",SUMIFS('02_MASTER'!$F:$F,'02_MASTER'!$B:$B,"IT.ECM.ENT.TRN",'02_MASTER'!$E:$E,2024))</f>
        <v/>
      </c>
    </row>
    <row r="12">
      <c r="A12" s="3" t="inlineStr">
        <is>
          <t>FITTED LINE (ordinary least squares)</t>
        </is>
      </c>
    </row>
    <row r="13" ht="28" customHeight="1">
      <c r="A13" s="8" t="inlineStr">
        <is>
          <t>statistic</t>
        </is>
      </c>
      <c r="B13" s="8" t="inlineStr">
        <is>
          <t>value</t>
        </is>
      </c>
      <c r="C13" s="8" t="inlineStr">
        <is>
          <t>reading</t>
        </is>
      </c>
    </row>
    <row r="14" ht="26" customHeight="1">
      <c r="A14" s="26" t="inlineStr">
        <is>
          <t>n (countries)</t>
        </is>
      </c>
      <c r="B14" s="37">
        <f>COUNT($C$5:$C$10)</f>
        <v/>
      </c>
      <c r="C14" s="29" t="inlineStr">
        <is>
          <t>Number of complete X-Y pairs. Expands automatically as data is added.</t>
        </is>
      </c>
    </row>
    <row r="15" ht="26" customHeight="1">
      <c r="A15" s="26" t="inlineStr">
        <is>
          <t>Slope</t>
        </is>
      </c>
      <c r="B15" s="38">
        <f>SLOPE($D$5:$D$10,$C$5:$C$10)</f>
        <v/>
      </c>
      <c r="C15" s="29" t="inlineStr">
        <is>
          <t>Percentage points of enterprise turnover per percentage point of consumer adoption.</t>
        </is>
      </c>
    </row>
    <row r="16" ht="26" customHeight="1">
      <c r="A16" s="26" t="inlineStr">
        <is>
          <t>Intercept</t>
        </is>
      </c>
      <c r="B16" s="31">
        <f>INTERCEPT($D$5:$D$10,$C$5:$C$10)</f>
        <v/>
      </c>
      <c r="C16" s="29" t="inlineStr">
        <is>
          <t>Not interpretable - no country has zero adoption, so this is far outside the observed range.</t>
        </is>
      </c>
    </row>
    <row r="17" ht="26" customHeight="1">
      <c r="A17" s="26" t="inlineStr">
        <is>
          <t>Correlation (r)</t>
        </is>
      </c>
      <c r="B17" s="38">
        <f>CORREL($C$5:$C$10,$D$5:$D$10)</f>
        <v/>
      </c>
      <c r="C17" s="29" t="inlineStr">
        <is>
          <t>Strength and direction of the linear association.</t>
        </is>
      </c>
    </row>
    <row r="18" ht="26" customHeight="1">
      <c r="A18" s="26" t="inlineStr">
        <is>
          <t>R-squared</t>
        </is>
      </c>
      <c r="B18" s="38">
        <f>RSQ($D$5:$D$10,$C$5:$C$10)</f>
        <v/>
      </c>
      <c r="C18" s="29" t="inlineStr">
        <is>
          <t>Share of cross-country variation in Y that moves with X.</t>
        </is>
      </c>
    </row>
    <row r="19" ht="26" customHeight="1">
      <c r="A19" s="26" t="inlineStr">
        <is>
          <t>Denmark: actual Y</t>
        </is>
      </c>
      <c r="B19" s="31">
        <f>IF(COUNTIFS('02_MASTER'!$B:$B,"DK.ECM.ENT.TRN",'02_MASTER'!$E:$E,2024)=0,"",SUMIFS('02_MASTER'!$F:$F,'02_MASTER'!$B:$B,"DK.ECM.ENT.TRN",'02_MASTER'!$E:$E,2024))</f>
        <v/>
      </c>
      <c r="C19" s="29" t="inlineStr">
        <is>
          <t>Denmark's observed value.</t>
        </is>
      </c>
    </row>
    <row r="20" ht="26" customHeight="1">
      <c r="A20" s="26" t="inlineStr">
        <is>
          <t>Denmark: fitted Y</t>
        </is>
      </c>
      <c r="B20" s="31">
        <f>INTERCEPT($D$5:$D$10,$C$5:$C$10)+SLOPE($D$5:$D$10,$C$5:$C$10)*IF(COUNTIFS('02_MASTER'!$B:$B,"DK.ECM.IND.BUY",'02_MASTER'!$E:$E,2024)=0,"",SUMIFS('02_MASTER'!$F:$F,'02_MASTER'!$B:$B,"DK.ECM.IND.BUY",'02_MASTER'!$E:$E,2024))</f>
        <v/>
      </c>
      <c r="C20" s="29" t="inlineStr">
        <is>
          <t>What the line predicts for Denmark's adoption level.</t>
        </is>
      </c>
    </row>
    <row r="21" ht="26" customHeight="1">
      <c r="A21" s="26" t="inlineStr">
        <is>
          <t>Denmark: residual</t>
        </is>
      </c>
      <c r="B21" s="39">
        <f>IF(COUNTIFS('02_MASTER'!$B:$B,"DK.ECM.ENT.TRN",'02_MASTER'!$E:$E,2024)=0,"",SUMIFS('02_MASTER'!$F:$F,'02_MASTER'!$B:$B,"DK.ECM.ENT.TRN",'02_MASTER'!$E:$E,2024))-(INTERCEPT($D$5:$D$10,$C$5:$C$10)+SLOPE($D$5:$D$10,$C$5:$C$10)*IF(COUNTIFS('02_MASTER'!$B:$B,"DK.ECM.IND.BUY",'02_MASTER'!$E:$E,2024)=0,"",SUMIFS('02_MASTER'!$F:$F,'02_MASTER'!$B:$B,"DK.ECM.IND.BUY",'02_MASTER'!$E:$E,2024)))</f>
        <v/>
      </c>
      <c r="C21" s="29" t="inlineStr">
        <is>
          <t>Positive: Denmark converts adoption into commercial activity better than the EU pattern predicts. Negative: worse.</t>
        </is>
      </c>
    </row>
    <row r="23">
      <c r="A23" s="3" t="inlineStr">
        <is>
          <t>AWAITING DATA - not plotted</t>
        </is>
      </c>
    </row>
    <row r="24" ht="28" customHeight="1">
      <c r="A24" s="8" t="inlineStr">
        <is>
          <t>country</t>
        </is>
      </c>
      <c r="B24" s="8" t="inlineStr">
        <is>
          <t>code</t>
        </is>
      </c>
      <c r="C24" s="8" t="inlineStr">
        <is>
          <t>missing</t>
        </is>
      </c>
    </row>
    <row r="25">
      <c r="A25" s="26" t="inlineStr">
        <is>
          <t>Austria</t>
        </is>
      </c>
      <c r="B25" s="36" t="inlineStr">
        <is>
          <t>AT</t>
        </is>
      </c>
      <c r="C25" s="40" t="inlineStr">
        <is>
          <t>X - add AT.ECM.IND.BUY for 2024 (Eurostat isoc_ec_ib20)</t>
        </is>
      </c>
    </row>
    <row r="26">
      <c r="A26" s="26" t="inlineStr">
        <is>
          <t>Belgium</t>
        </is>
      </c>
      <c r="B26" s="36" t="inlineStr">
        <is>
          <t>BE</t>
        </is>
      </c>
      <c r="C26" s="40" t="inlineStr">
        <is>
          <t>X - add BE.ECM.IND.BUY for 2024 (Eurostat isoc_ec_ib20)</t>
        </is>
      </c>
    </row>
    <row r="27">
      <c r="A27" s="26" t="inlineStr">
        <is>
          <t>Cyprus</t>
        </is>
      </c>
      <c r="B27" s="36" t="inlineStr">
        <is>
          <t>CY</t>
        </is>
      </c>
      <c r="C27" s="40" t="inlineStr">
        <is>
          <t>X - add CY.ECM.IND.BUY for 2024 (Eurostat isoc_ec_ib20)</t>
        </is>
      </c>
    </row>
    <row r="28">
      <c r="A28" s="26" t="inlineStr">
        <is>
          <t>Czechia</t>
        </is>
      </c>
      <c r="B28" s="36" t="inlineStr">
        <is>
          <t>CZ</t>
        </is>
      </c>
      <c r="C28" s="40" t="inlineStr">
        <is>
          <t>X - add CZ.ECM.IND.BUY for 2024 (Eurostat isoc_ec_ib20)</t>
        </is>
      </c>
    </row>
    <row r="29">
      <c r="A29" s="26" t="inlineStr">
        <is>
          <t>Spain</t>
        </is>
      </c>
      <c r="B29" s="36" t="inlineStr">
        <is>
          <t>ES</t>
        </is>
      </c>
      <c r="C29" s="40" t="inlineStr">
        <is>
          <t>X - add ES.ECM.IND.BUY for 2024 (Eurostat isoc_ec_ib20)</t>
        </is>
      </c>
    </row>
    <row r="30">
      <c r="A30" s="26" t="inlineStr">
        <is>
          <t>France</t>
        </is>
      </c>
      <c r="B30" s="36" t="inlineStr">
        <is>
          <t>FR</t>
        </is>
      </c>
      <c r="C30" s="40" t="inlineStr">
        <is>
          <t>X - add FR.ECM.IND.BUY for 2024 (Eurostat isoc_ec_ib20)</t>
        </is>
      </c>
    </row>
    <row r="31">
      <c r="A31" s="26" t="inlineStr">
        <is>
          <t>Croatia</t>
        </is>
      </c>
      <c r="B31" s="36" t="inlineStr">
        <is>
          <t>HR</t>
        </is>
      </c>
      <c r="C31" s="40" t="inlineStr">
        <is>
          <t>X - add HR.ECM.IND.BUY for 2024 (Eurostat isoc_ec_ib20)</t>
        </is>
      </c>
    </row>
    <row r="32">
      <c r="A32" s="26" t="inlineStr">
        <is>
          <t>Luxembourg</t>
        </is>
      </c>
      <c r="B32" s="36" t="inlineStr">
        <is>
          <t>LU</t>
        </is>
      </c>
      <c r="C32" s="40" t="inlineStr">
        <is>
          <t>X - add LU.ECM.IND.BUY for 2024 (Eurostat isoc_ec_ib20)</t>
        </is>
      </c>
    </row>
    <row r="33">
      <c r="A33" s="26" t="inlineStr">
        <is>
          <t>Malta</t>
        </is>
      </c>
      <c r="B33" s="36" t="inlineStr">
        <is>
          <t>MT</t>
        </is>
      </c>
      <c r="C33" s="40" t="inlineStr">
        <is>
          <t>X - add MT.ECM.IND.BUY for 2024 (Eurostat isoc_ec_ib20)</t>
        </is>
      </c>
    </row>
    <row r="34">
      <c r="A34" s="26" t="inlineStr">
        <is>
          <t>Poland</t>
        </is>
      </c>
      <c r="B34" s="36" t="inlineStr">
        <is>
          <t>PL</t>
        </is>
      </c>
      <c r="C34" s="40" t="inlineStr">
        <is>
          <t>X - add PL.ECM.IND.BUY for 2024 (Eurostat isoc_ec_ib20)</t>
        </is>
      </c>
    </row>
    <row r="35">
      <c r="A35" s="26" t="inlineStr">
        <is>
          <t>Sweden</t>
        </is>
      </c>
      <c r="B35" s="36" t="inlineStr">
        <is>
          <t>SE</t>
        </is>
      </c>
      <c r="C35" s="40" t="inlineStr">
        <is>
          <t>X - add SE.ECM.IND.BUY for 2024 (Eurostat isoc_ec_ib20)</t>
        </is>
      </c>
    </row>
    <row r="36">
      <c r="A36" s="26" t="inlineStr">
        <is>
          <t>Slovenia</t>
        </is>
      </c>
      <c r="B36" s="36" t="inlineStr">
        <is>
          <t>SI</t>
        </is>
      </c>
      <c r="C36" s="40" t="inlineStr">
        <is>
          <t>X - add SI.ECM.IND.BUY for 2024 (Eurostat isoc_ec_ib20)</t>
        </is>
      </c>
    </row>
    <row r="37">
      <c r="A37" s="26" t="inlineStr">
        <is>
          <t>Lithuania</t>
        </is>
      </c>
      <c r="B37" s="36" t="inlineStr">
        <is>
          <t>LT</t>
        </is>
      </c>
      <c r="C37" s="40" t="inlineStr">
        <is>
          <t>Y - add LT.ECM.ENT.TRN for 2024 (Eurostat tin00110)</t>
        </is>
      </c>
    </row>
    <row r="38">
      <c r="A38" s="26" t="inlineStr">
        <is>
          <t>Netherlands</t>
        </is>
      </c>
      <c r="B38" s="36" t="inlineStr">
        <is>
          <t>NL</t>
        </is>
      </c>
      <c r="C38" s="40" t="inlineStr">
        <is>
          <t>Y - add NL.ECM.ENT.TRN for 2024 (Eurostat tin00110)</t>
        </is>
      </c>
    </row>
    <row r="39">
      <c r="A39" s="26" t="inlineStr">
        <is>
          <t>Romania</t>
        </is>
      </c>
      <c r="B39" s="36" t="inlineStr">
        <is>
          <t>RO</t>
        </is>
      </c>
      <c r="C39" s="40" t="inlineStr">
        <is>
          <t>Y - add RO.ECM.ENT.TRN for 2024 (Eurostat tin00110)</t>
        </is>
      </c>
    </row>
    <row r="41">
      <c r="A41" s="32" t="inlineStr">
        <is>
          <t>Sources: Eurostat isoc_ec_ib20 (ES4) for X; Eurostat tin00110 (ES5, ES6) for Y. WHY A CROSS-SECTION: the Danish adoption and outcome series share almost no observation years - the best time-series pairing in this dataset is n=2 - so a within-Denmark scatter of adoption against outcome cannot be drawn from verified data. SAMPLE: n=6 of 27 member states. This is a small sample; report the association descriptively and do not quote a p-value. Adding the missing values listed above raises n automatically on the next rebuild. WHAT Y MEASURES: tin00110 covers all enterprises with 10+ employees outside the financial sector, so it includes B2B and EDI ordering across every industry, not retail alone. X is a consumer measure. The two sit on different sides of the market, so a positive association is evidence that digital commerce is deep in an economy - not evidence that consumers buying online causes enterprise turnover.</t>
        </is>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26" customWidth="1" min="1" max="1"/>
    <col width="92" customWidth="1" min="2" max="2"/>
  </cols>
  <sheetData>
    <row r="1" ht="22" customHeight="1">
      <c r="A1" s="7" t="inlineStr">
        <is>
          <t>Documented gap - retail trade volume index</t>
        </is>
      </c>
    </row>
    <row r="2">
      <c r="A2" s="25" t="inlineStr">
        <is>
          <t>Recorded rather than silently omitted.</t>
        </is>
      </c>
    </row>
    <row r="4" ht="20" customHeight="1">
      <c r="A4" s="3" t="inlineStr">
        <is>
          <t>Status</t>
        </is>
      </c>
      <c r="B4" s="41" t="inlineStr">
        <is>
          <t>NOT RETRIEVED</t>
        </is>
      </c>
    </row>
    <row r="5" ht="20" customHeight="1">
      <c r="A5" s="3" t="inlineStr">
        <is>
          <t>Indicator</t>
        </is>
      </c>
      <c r="B5" s="41" t="inlineStr">
        <is>
          <t>Retail trade turnover, volume index (mangdeindeks)</t>
        </is>
      </c>
    </row>
    <row r="6" ht="20" customHeight="1">
      <c r="A6" s="3" t="inlineStr">
        <is>
          <t>Authority</t>
        </is>
      </c>
      <c r="B6" s="41" t="inlineStr">
        <is>
          <t>Danmarks Statistik; also available via Eurostat sts_trtu_a</t>
        </is>
      </c>
    </row>
    <row r="7" ht="20" customHeight="1">
      <c r="A7" s="3" t="inlineStr">
        <is>
          <t>Filters required</t>
        </is>
      </c>
      <c r="B7" s="41" t="inlineStr">
        <is>
          <t>geo=DK; nace_r2=G47; indic_bt=VOL; s_adj=SCA; unit=I21 (2021=100)</t>
        </is>
      </c>
    </row>
    <row r="8" ht="44" customHeight="1">
      <c r="A8" s="3" t="inlineStr">
        <is>
          <t>Why not retrieved</t>
        </is>
      </c>
      <c r="B8" s="41" t="inlineStr">
        <is>
          <t>Values are published through StatBank and the Eurostat databrowser. This session's network policy blocked direct access to both, and the figure could not be verified by search. A value that cannot be traced is not entered.</t>
        </is>
      </c>
    </row>
    <row r="9" ht="44" customHeight="1">
      <c r="A9" s="3" t="inlineStr">
        <is>
          <t>Base year caution</t>
        </is>
      </c>
      <c r="B9" s="41" t="inlineStr">
        <is>
          <t>Danmarks Statistik rebased the index from 2015=100 to 2021=100. Series retrieved on different bases must not be joined.</t>
        </is>
      </c>
    </row>
    <row r="10" ht="44" customHeight="1">
      <c r="A10" s="3" t="inlineStr">
        <is>
          <t>Effect on the analysis</t>
        </is>
      </c>
      <c r="B10" s="41" t="inlineStr">
        <is>
          <t>The e-commerce section rests on the enterprise e-sales evidence in F3_ESALES instead, which is better sourced. No conclusion in the report depends on this series.</t>
        </is>
      </c>
    </row>
    <row r="11" ht="44" customHeight="1">
      <c r="A11" s="3" t="inlineStr">
        <is>
          <t>To fill</t>
        </is>
      </c>
      <c r="B11" s="41" t="inlineStr">
        <is>
          <t>Retrieve from statistikbanken.dk, add rows to dataset.py under series_code DK.RET.VOL with unit 'index 2021=100', and re-run build_workbook.py.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5"/>
  <sheetViews>
    <sheetView showGridLines="0" workbookViewId="0">
      <selection activeCell="A1" sqref="A1"/>
    </sheetView>
  </sheetViews>
  <sheetFormatPr baseColWidth="8" defaultRowHeight="15"/>
  <cols>
    <col width="30" customWidth="1" min="1" max="1"/>
    <col width="92" customWidth="1" min="2" max="2"/>
  </cols>
  <sheetData>
    <row r="1" ht="22" customHeight="1">
      <c r="A1" s="7" t="inlineStr">
        <is>
          <t>Data quality statement</t>
        </is>
      </c>
    </row>
    <row r="2">
      <c r="A2" s="25" t="inlineStr">
        <is>
          <t>Read before citing any value.</t>
        </is>
      </c>
    </row>
    <row r="4" ht="62" customHeight="1">
      <c r="A4" s="3" t="inlineStr">
        <is>
          <t>No inferential statistics</t>
        </is>
      </c>
      <c r="B4" s="20" t="inlineStr">
        <is>
          <t>The longest series here has six observations. Regression, cointegration and Granger-causality procedures require far more, and any such result on this dataset would be uninterpretable. The workbook supports description and comparison only. Co-movement between digital payment adoption and branch closures is presented as association, never as measured causation.</t>
        </is>
      </c>
    </row>
    <row r="5" ht="62" customHeight="1">
      <c r="A5" s="3" t="inlineStr">
        <is>
          <t>Unbalanced panel</t>
        </is>
      </c>
      <c r="B5" s="20" t="inlineStr">
        <is>
          <t>Observation years differ by series because the underlying sources publish on different cycles - payment habits roughly biennially, Eurostat annually, branch counts irregularly. Gaps are genuine and are not filled.</t>
        </is>
      </c>
    </row>
    <row r="6" ht="62" customHeight="1">
      <c r="A6" s="3" t="inlineStr">
        <is>
          <t>Denominator break</t>
        </is>
      </c>
      <c r="B6" s="20" t="inlineStr">
        <is>
          <t>Danish online-purchasing figures change base between 2019 (% of individuals) and 2020 onward (% of internet users). The 2019 observation carries flag 'b' and is never plotted with later years.</t>
        </is>
      </c>
    </row>
    <row r="7" ht="62" customHeight="1">
      <c r="A7" s="3" t="inlineStr">
        <is>
          <t>Verbal quantities</t>
        </is>
      </c>
      <c r="B7" s="20" t="inlineStr">
        <is>
          <t>Values flagged 'e' were published as words, not figures - 'nearly one in five', 'just under 36,000'. They are recorded as the stated approximation with the original wording in the notes column.</t>
        </is>
      </c>
    </row>
    <row r="8" ht="62" customHeight="1">
      <c r="A8" s="3" t="inlineStr">
        <is>
          <t>Confounded outcome</t>
        </is>
      </c>
      <c r="B8" s="20" t="inlineStr">
        <is>
          <t>Branch closures reflect both digitalisation and sectoral consolidation (219 institutions in 1991, 51 in 2024). The branch series alone cannot separate these, and the report should not claim that it does.</t>
        </is>
      </c>
    </row>
    <row r="9" ht="62" customHeight="1">
      <c r="A9" s="3" t="inlineStr">
        <is>
          <t>Definitional spread in exclusion measures</t>
        </is>
      </c>
      <c r="B9" s="20" t="inlineStr">
        <is>
          <t>The five exclusion measures range from 4.7% to 25% because they define the population differently. They are not competing estimates of one quantity and must not be averaged or presented as a range.</t>
        </is>
      </c>
    </row>
    <row r="10" ht="62" customHeight="1">
      <c r="A10" s="3" t="inlineStr">
        <is>
          <t>Cross-section incomplete</t>
        </is>
      </c>
      <c r="B10" s="20" t="inlineStr">
        <is>
          <t>F5 covers 8 of 27 member states. It supports a ranking, not a regression.</t>
        </is>
      </c>
    </row>
    <row r="11" ht="62" customHeight="1">
      <c r="A11" s="3" t="inlineStr">
        <is>
          <t>Figure 6 sample size</t>
        </is>
      </c>
      <c r="B11" s="20" t="inlineStr">
        <is>
          <t>The adoption-to-outcome scatter rests on 6 complete country pairs. The association is strong and positive, but 6 points cannot support a p-value, a confidence interval, or a claim about causal direction. Report the slope and R-squared descriptively and say n explicitly. Adding the missing values listed on that sheet raises n automatically.</t>
        </is>
      </c>
    </row>
    <row r="12" ht="62" customHeight="1">
      <c r="A12" s="3" t="inlineStr">
        <is>
          <t>Figure 6 measures two sides of the market</t>
        </is>
      </c>
      <c r="B12" s="20" t="inlineStr">
        <is>
          <t>X is a consumer measure (individuals buying online); Y is an all-enterprise, all-sector measure that includes B2B and EDI ordering. A positive association indicates that digital commerce runs deep in an economy. It is not evidence that consumer purchasing causes enterprise turnover, and must not be written as though it were.</t>
        </is>
      </c>
    </row>
    <row r="13" ht="62" customHeight="1">
      <c r="A13" s="3" t="inlineStr">
        <is>
          <t>Mirror-sourced column</t>
        </is>
      </c>
      <c r="B13" s="20" t="inlineStr">
        <is>
          <t>The 16 country-level e-sales turnover values flagged 'u' were retrieved via search of Eurostat tin00110 rather than from the databrowser directly. Two values in the same column (EU27 19.49 and Ireland 38.25) are independently corroborated by source ES5, which supports the column, but each value should be spot-checked against the databrowser before final submission.</t>
        </is>
      </c>
    </row>
    <row r="14" ht="62" customHeight="1">
      <c r="A14" s="3" t="inlineStr">
        <is>
          <t>Search-based verification</t>
        </is>
      </c>
      <c r="B14" s="20" t="inlineStr">
        <is>
          <t>Direct access to statistical portals was blocked in the build environment. Values were verified against the issuing authority through search results reporting those publications. This is weaker than downloading the dataset: before final submission, spot-check high-stakes figures against the source pages directly.</t>
        </is>
      </c>
    </row>
    <row r="15" ht="62" customHeight="1">
      <c r="A15" s="3" t="inlineStr">
        <is>
          <t>Discarded material</t>
        </is>
      </c>
      <c r="B15" s="20" t="inlineStr">
        <is>
          <t>An earlier candidate dataset was rejected in full after verification found fabricated values carrying authentic dataset codes and extraction dates - including a Eurostat cross-section that inverted the true EU country ranking. None of it survives in this workbook.</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28" customWidth="1" min="1" max="1"/>
    <col width="40" customWidth="1" min="2" max="2"/>
    <col width="46" customWidth="1" min="3" max="3"/>
    <col width="34" customWidth="1" min="4" max="4"/>
  </cols>
  <sheetData>
    <row r="1" ht="22" customHeight="1">
      <c r="A1" s="7" t="inlineStr">
        <is>
          <t>AI use and validation log</t>
        </is>
      </c>
    </row>
    <row r="2">
      <c r="A2" s="25" t="inlineStr">
        <is>
          <t>Raw material for the AI Use and Validation Appendix.</t>
        </is>
      </c>
    </row>
    <row r="4" ht="28" customHeight="1">
      <c r="A4" s="8" t="inlineStr">
        <is>
          <t>step</t>
        </is>
      </c>
      <c r="B4" s="8" t="inlineStr">
        <is>
          <t>AI assistance used</t>
        </is>
      </c>
      <c r="C4" s="8" t="inlineStr">
        <is>
          <t>how it was validated</t>
        </is>
      </c>
      <c r="D4" s="8" t="inlineStr">
        <is>
          <t>outcome</t>
        </is>
      </c>
    </row>
    <row r="5" ht="52" customHeight="1">
      <c r="A5" s="15" t="inlineStr">
        <is>
          <t>Source identification</t>
        </is>
      </c>
      <c r="B5" s="15" t="inlineStr">
        <is>
          <t>AI used to identify candidate statistical sources and dataset codes.</t>
        </is>
      </c>
      <c r="C5" s="15" t="inlineStr">
        <is>
          <t>Each source opened or search-verified against the issuing authority.</t>
        </is>
      </c>
      <c r="D5" s="15" t="inlineStr">
        <is>
          <t>Source register in 03_SOURCES.</t>
        </is>
      </c>
    </row>
    <row r="6" ht="52" customHeight="1">
      <c r="A6" s="15" t="inlineStr">
        <is>
          <t>Value retrieval</t>
        </is>
      </c>
      <c r="B6" s="15" t="inlineStr">
        <is>
          <t>AI used to search for published values by authority and indicator.</t>
        </is>
      </c>
      <c r="C6" s="15" t="inlineStr">
        <is>
          <t>Each value checked against a result reporting the issuing authority's own publication.</t>
        </is>
      </c>
      <c r="D6" s="15" t="inlineStr">
        <is>
          <t>69 observations retained.</t>
        </is>
      </c>
    </row>
    <row r="7" ht="52" customHeight="1">
      <c r="A7" s="15" t="inlineStr">
        <is>
          <t>Rejection of a prior dataset</t>
        </is>
      </c>
      <c r="B7" s="15" t="inlineStr">
        <is>
          <t>A candidate dataset produced with AI assistance was reviewed.</t>
        </is>
      </c>
      <c r="C7" s="15" t="inlineStr">
        <is>
          <t>Cross-checked against Eurostat's published country ranking; the values inverted the true ranking and contained duplicated and interpolated cells.</t>
        </is>
      </c>
      <c r="D7" s="15" t="inlineStr">
        <is>
          <t>Dataset rejected in full and excluded.</t>
        </is>
      </c>
    </row>
    <row r="8" ht="52" customHeight="1">
      <c r="A8" s="15" t="inlineStr">
        <is>
          <t>Workbook construction</t>
        </is>
      </c>
      <c r="B8" s="15" t="inlineStr">
        <is>
          <t>AI wrote the Python build script that generates this workbook.</t>
        </is>
      </c>
      <c r="C8" s="15" t="inlineStr">
        <is>
          <t>Structural assertions run at build time: source_ids resolve, units and denominators present, no duplicate observations, break flags set.</t>
        </is>
      </c>
      <c r="D8" s="15" t="inlineStr">
        <is>
          <t>build_workbook.py, re-runnable.</t>
        </is>
      </c>
    </row>
    <row r="9" ht="52" customHeight="1">
      <c r="A9" s="15" t="inlineStr">
        <is>
          <t>Analytical framing</t>
        </is>
      </c>
      <c r="B9" s="15" t="inlineStr">
        <is>
          <t>AI used to interpret patterns and suggest framings.</t>
        </is>
      </c>
      <c r="C9" s="15" t="inlineStr">
        <is>
          <t>Author reviewed each interpretation against the underlying values.</t>
        </is>
      </c>
      <c r="D9" s="15" t="inlineStr">
        <is>
          <t>Interpretations appear in the report, attributed to the author.</t>
        </is>
      </c>
    </row>
    <row r="10" ht="52" customHeight="1">
      <c r="A10" s="15" t="inlineStr">
        <is>
          <t>Not delegated to AI</t>
        </is>
      </c>
      <c r="B10" s="15" t="inlineStr">
        <is>
          <t>Selection of the research question, country, industries, SDG and policy comparator; the argument; the conclusions.</t>
        </is>
      </c>
      <c r="C10" s="15" t="inlineStr">
        <is>
          <t>n/a</t>
        </is>
      </c>
      <c r="D10" s="15" t="inlineStr">
        <is>
          <t>Author's own work.</t>
        </is>
      </c>
    </row>
    <row r="12">
      <c r="A12" s="32" t="inlineStr">
        <is>
          <t>This log records assistance during data assembly. Complete it with any further AI use during drafting before submission. The assessment requires that AI-assisted content be verified and acknowledged.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s4040040</dc:creator>
  <dc:title>Denmark: Digital Adoption and Policy Outcomes</dc:title>
  <dc:description>Statistical annex, v1.0, built 2026-09-12. 87 verified observations.</dc:description>
  <dc:subject>ECON1596/ECON1597 Digital Economy and Policy</dc:subject>
  <dcterms:created xsi:type="dcterms:W3CDTF">2026-09-12T06:56:27Z</dcterms:created>
  <dcterms:modified xsi:type="dcterms:W3CDTF">2026-09-12T06:56:27Z</dcterms:modified>
</cp:coreProperties>
</file>