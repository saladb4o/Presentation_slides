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8" sheetId="11" state="visible" r:id="rId11"/>
    <sheet name="F6_ADOPT_BENEFIT" sheetId="12" state="visible" r:id="rId12"/>
    <sheet name="F7_QUALITY" sheetId="13" state="visible" r:id="rId13"/>
    <sheet name="F8_SMVDIGITAL" sheetId="14" state="visible" r:id="rId14"/>
    <sheet name="09_POLICY" sheetId="15" state="visible" r:id="rId15"/>
    <sheet name="06_RETAIL_GAP" sheetId="16" state="visible" r:id="rId16"/>
    <sheet name="07_LIMITATIONS" sheetId="17" state="visible" r:id="rId17"/>
    <sheet name="08_AI_LOG" sheetId="18" state="visible" r:id="rId18"/>
  </sheets>
  <definedNames>
    <definedName name="_xlnm._FilterDatabase" localSheetId="2" hidden="1">'02_MASTER'!$A$1:$L$93</definedName>
  </definedNames>
  <calcPr calcId="124519" fullCalcOnLoad="1"/>
</workbook>
</file>

<file path=xl/styles.xml><?xml version="1.0" encoding="utf-8"?>
<styleSheet xmlns="http://schemas.openxmlformats.org/spreadsheetml/2006/main">
  <numFmts count="6">
    <numFmt numFmtId="164" formatCode="0.0%"/>
    <numFmt numFmtId="165" formatCode="_(#,##0_);\(#,##0\);_(&quot;–&quot;_);_(&quot;–&quot;_)"/>
    <numFmt numFmtId="166" formatCode="_(#,##0.0_);\(#,##0.0\);_(&quot;–&quot;_);_(&quot;–&quot;_)"/>
    <numFmt numFmtId="167" formatCode="_(#,##0.00_);\(#,##0.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3" fontId="4" fillId="4" borderId="1" pivotButton="0" quotePrefix="0" xfId="0"/>
    <xf numFmtId="0" fontId="8" fillId="0" borderId="1" pivotButton="0" quotePrefix="0" xfId="0"/>
    <xf numFmtId="0" fontId="8" fillId="0" borderId="1" applyAlignment="1" pivotButton="0" quotePrefix="0" xfId="0">
      <alignment vertical="top" wrapText="1"/>
    </xf>
    <xf numFmtId="164" fontId="4" fillId="4" borderId="1" pivotButton="0" quotePrefix="0" xfId="0"/>
    <xf numFmtId="2" fontId="4" fillId="4" borderId="1" pivotButton="0" quotePrefix="0" xfId="0"/>
    <xf numFmtId="0" fontId="3" fillId="7" borderId="0" applyAlignment="1" pivotButton="0" quotePrefix="0" xfId="0">
      <alignment vertical="center"/>
    </xf>
    <xf numFmtId="165" fontId="4" fillId="4" borderId="1" pivotButton="0" quotePrefix="0" xfId="0"/>
    <xf numFmtId="0" fontId="8" fillId="0" borderId="0" applyAlignment="1" pivotButton="0" quotePrefix="0" xfId="0">
      <alignment vertical="top" wrapText="1"/>
    </xf>
    <xf numFmtId="166" fontId="4" fillId="4" borderId="1" pivotButton="0" quotePrefix="0" xfId="0"/>
    <xf numFmtId="166" fontId="4" fillId="5" borderId="1" pivotButton="0" quotePrefix="0" xfId="0"/>
    <xf numFmtId="167" fontId="0" fillId="4" borderId="1" pivotButton="0" quotePrefix="0" xfId="0"/>
    <xf numFmtId="167" fontId="4"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scatterChart>
        <ser>
          <idx val="0"/>
          <order val="0"/>
          <tx>
            <strRef>
              <f>'F1_BRANCHES'!B4</f>
            </strRef>
          </tx>
          <spPr>
            <a:ln w="22000">
              <a:solidFill>
                <a:srgbClr val="2E6DB4"/>
              </a:solidFill>
              <a:prstDash val="solid"/>
            </a:ln>
          </spPr>
          <marker>
            <symbol val="circle"/>
            <size val="7"/>
            <spPr>
              <a:solidFill>
                <a:srgbClr val="2E6DB4"/>
              </a:solidFill>
              <a:l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a:p>
                <a:pPr>
                  <a:defRPr/>
                </a:pPr>
                <a:r>
                  <a:t>Year</a:t>
                </a:r>
              </a:p>
            </rich>
          </tx>
        </title>
        <majorTickMark val="none"/>
        <minorTickMark val="none"/>
        <spPr>
          <a:ln>
            <a:noFill/>
            <a:prstDash val="solid"/>
          </a:ln>
        </spPr>
        <crossAx val="20"/>
      </valAx>
      <valAx>
        <axId val="20"/>
        <scaling>
          <orientation val="minMax"/>
          <min val="0"/>
        </scaling>
        <axPos val="l"/>
        <title>
          <tx>
            <rich>
              <a:bodyPr/>
              <a:p>
                <a:pPr>
                  <a:defRPr/>
                </a:pPr>
                <a:r>
                  <a:t>Number of branches</a:t>
                </a:r>
              </a:p>
            </rich>
          </tx>
        </title>
        <majorTickMark val="none"/>
        <minorTickMark val="none"/>
        <spPr>
          <a:ln>
            <a:noFill/>
            <a:prstDash val="solid"/>
          </a:ln>
        </spPr>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tx>
            <strRef>
              <f>'F2_PAYMENTS'!B5</f>
            </strRef>
          </tx>
          <spPr>
            <a:ln w="22000">
              <a:solidFill>
                <a:srgbClr val="2E6DB4"/>
              </a:solidFill>
              <a:prstDash val="solid"/>
            </a:ln>
          </spPr>
          <marker>
            <symbol val="circle"/>
            <size val="7"/>
            <spPr>
              <a:solidFill>
                <a:srgbClr val="2E6DB4"/>
              </a:solidFill>
              <a:l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a:p>
                <a:pPr>
                  <a:defRPr/>
                </a:pPr>
                <a:r>
                  <a:t>Year</a:t>
                </a:r>
              </a:p>
            </rich>
          </tx>
        </title>
        <majorTickMark val="none"/>
        <minorTickMark val="none"/>
        <spPr>
          <a:ln>
            <a:noFill/>
            <a:prstDash val="solid"/>
          </a:ln>
        </spPr>
        <crossAx val="20"/>
      </valAx>
      <valAx>
        <axId val="20"/>
        <scaling>
          <orientation val="minMax"/>
          <max val="25"/>
          <min val="0"/>
        </scaling>
        <axPos val="l"/>
        <title>
          <tx>
            <rich>
              <a:bodyPr/>
              <a:p>
                <a:pPr>
                  <a:defRPr/>
                </a:pPr>
                <a:r>
                  <a:t>% of number of payments</a:t>
                </a:r>
              </a:p>
            </rich>
          </tx>
        </title>
        <majorTickMark val="none"/>
        <minorTickMark val="none"/>
        <spPr>
          <a:ln>
            <a:noFill/>
            <a:prstDash val="solid"/>
          </a:ln>
        </spPr>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bar"/>
        <grouping val="clustered"/>
        <ser>
          <idx val="0"/>
          <order val="0"/>
          <tx>
            <strRef>
              <f>'F2_PAYMENTS'!B11</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cat>
            <numRef>
              <f>'F2_PAYMENTS'!$A$12:$A$14</f>
            </numRef>
          </cat>
          <val>
            <numRef>
              <f>'F2_PAYMENTS'!$B$12:$B$14</f>
            </numRef>
          </val>
        </ser>
        <gapWidth val="80"/>
        <axId val="10"/>
        <axId val="100"/>
      </barChart>
      <catAx>
        <axId val="10"/>
        <scaling>
          <orientation val="minMax"/>
        </scaling>
        <axPos val="l"/>
        <title>
          <tx>
            <rich>
              <a:bodyPr/>
              <a:p>
                <a:pPr>
                  <a:defRPr/>
                </a:pPr>
                <a:r>
                  <a:t>% of number of payments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4.xml><?xml version="1.0" encoding="utf-8"?>
<chartSpace xmlns:a="http://schemas.openxmlformats.org/drawingml/2006/main" xmlns="http://schemas.openxmlformats.org/drawingml/2006/chart">
  <chart>
    <plotArea>
      <barChart>
        <barDir val="col"/>
        <grouping val="clustered"/>
        <ser>
          <idx val="0"/>
          <order val="0"/>
          <tx>
            <strRef>
              <f>'F3_ESALES'!B4</f>
            </strRef>
          </tx>
          <spPr>
            <a:solidFill>
              <a:srgbClr val="2E6DB4"/>
            </a:solidFill>
            <a:ln>
              <a:noFill/>
              <a:prstDash val="solid"/>
            </a:ln>
          </spPr>
          <cat>
            <numRef>
              <f>'F3_ESALES'!$A$5:$A$6</f>
            </numRef>
          </cat>
          <val>
            <numRef>
              <f>'F3_ESALES'!$B$5:$B$6</f>
            </numRef>
          </val>
        </ser>
        <ser>
          <idx val="1"/>
          <order val="1"/>
          <tx>
            <strRef>
              <f>'F3_ESALES'!C4</f>
            </strRef>
          </tx>
          <spPr>
            <a:solidFill>
              <a:srgbClr val="A3A3A3"/>
            </a:solidFill>
            <a:ln>
              <a:noFill/>
              <a:prstDash val="solid"/>
            </a:ln>
          </spPr>
          <cat>
            <numRef>
              <f>'F3_ESALES'!$A$5:$A$6</f>
            </numRef>
          </cat>
          <val>
            <numRef>
              <f>'F3_ESALES'!$C$5:$C$6</f>
            </numRef>
          </val>
        </ser>
        <gapWidth val="80"/>
        <overlap val="-27"/>
        <axId val="10"/>
        <axId val="100"/>
      </barChart>
      <catAx>
        <axId val="10"/>
        <scaling>
          <orientation val="minMax"/>
        </scaling>
        <axPos val="l"/>
        <title>
          <tx>
            <rich>
              <a:bodyPr/>
              <a:p>
                <a:pPr>
                  <a:defRPr/>
                </a:pPr>
                <a:r>
                  <a:t>Year</a:t>
                </a:r>
              </a:p>
            </rich>
          </tx>
        </title>
        <majorTickMark val="none"/>
        <minorTickMark val="none"/>
        <spPr>
          <a:ln>
            <a:noFill/>
            <a:prstDash val="solid"/>
          </a:ln>
        </spPr>
        <crossAx val="100"/>
        <lblOffset val="100"/>
      </catAx>
      <valAx>
        <axId val="100"/>
        <scaling>
          <orientation val="minMax"/>
        </scaling>
        <axPos val="l"/>
        <title>
          <tx>
            <rich>
              <a:bodyPr/>
              <a:p>
                <a:pPr>
                  <a:defRPr/>
                </a:pPr>
                <a:r>
                  <a:t>% of turnover</a:t>
                </a:r>
              </a:p>
            </rich>
          </tx>
        </title>
        <majorTickMark val="none"/>
        <minorTickMark val="none"/>
        <spPr>
          <a:ln>
            <a:noFill/>
            <a:prstDash val="solid"/>
          </a:ln>
        </spPr>
        <crossAx val="10"/>
      </valAx>
    </plotArea>
    <legend>
      <legendPos val="b"/>
      <overlay val="0"/>
    </legend>
    <plotVisOnly val="1"/>
    <dispBlanksAs val="gap"/>
  </chart>
</chartSpace>
</file>

<file path=xl/charts/chart5.xml><?xml version="1.0" encoding="utf-8"?>
<chartSpace xmlns:a="http://schemas.openxmlformats.org/drawingml/2006/main" xmlns="http://schemas.openxmlformats.org/drawingml/2006/chart">
  <chart>
    <plotArea>
      <barChart>
        <barDir val="bar"/>
        <grouping val="clustered"/>
        <ser>
          <idx val="0"/>
          <order val="0"/>
          <tx>
            <strRef>
              <f>'F4_EXCLUSION'!B4</f>
            </strRef>
          </tx>
          <spPr>
            <a:solidFill>
              <a:srgbClr val="2E6DB4"/>
            </a:solidFill>
            <a:ln>
              <a:noFill/>
              <a:prstDash val="solid"/>
            </a:ln>
          </spPr>
          <cat>
            <numRef>
              <f>'F4_EXCLUSION'!$A$5:$A$10</f>
            </numRef>
          </cat>
          <val>
            <numRef>
              <f>'F4_EXCLUSION'!$B$5:$B$10</f>
            </numRef>
          </val>
        </ser>
        <gapWidth val="80"/>
        <axId val="10"/>
        <axId val="100"/>
      </barChart>
      <catAx>
        <axId val="10"/>
        <scaling>
          <orientation val="minMax"/>
        </scaling>
        <axPos val="l"/>
        <title>
          <tx>
            <rich>
              <a:bodyPr/>
              <a:p>
                <a:pPr>
                  <a:defRPr/>
                </a:pPr>
                <a:r>
                  <a:t>% of population</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6.xml><?xml version="1.0" encoding="utf-8"?>
<chartSpace xmlns:a="http://schemas.openxmlformats.org/drawingml/2006/main" xmlns="http://schemas.openxmlformats.org/drawingml/2006/chart">
  <chart>
    <plotArea>
      <barChart>
        <barDir val="bar"/>
        <grouping val="clustered"/>
        <ser>
          <idx val="0"/>
          <order val="0"/>
          <tx>
            <strRef>
              <f>'F5_EU8'!B4</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dPt>
            <idx val="3"/>
            <spPr>
              <a:solidFill>
                <a:srgbClr val="A3A3A3"/>
              </a:solidFill>
              <a:ln>
                <a:noFill/>
                <a:prstDash val="solid"/>
              </a:ln>
            </spPr>
          </dPt>
          <dPt>
            <idx val="4"/>
            <spPr>
              <a:solidFill>
                <a:srgbClr val="1F3A5F"/>
              </a:solidFill>
              <a:ln>
                <a:noFill/>
                <a:prstDash val="solid"/>
              </a:ln>
            </spPr>
          </dPt>
          <dPt>
            <idx val="5"/>
            <spPr>
              <a:solidFill>
                <a:srgbClr val="A3A3A3"/>
              </a:solidFill>
              <a:ln>
                <a:noFill/>
                <a:prstDash val="solid"/>
              </a:ln>
            </spPr>
          </dPt>
          <dPt>
            <idx val="6"/>
            <spPr>
              <a:solidFill>
                <a:srgbClr val="A3A3A3"/>
              </a:solidFill>
              <a:ln>
                <a:noFill/>
                <a:prstDash val="solid"/>
              </a:ln>
            </spPr>
          </dPt>
          <dPt>
            <idx val="7"/>
            <spPr>
              <a:solidFill>
                <a:srgbClr val="A3A3A3"/>
              </a:solidFill>
              <a:ln>
                <a:noFill/>
                <a:prstDash val="solid"/>
              </a:ln>
            </spPr>
          </dPt>
          <cat>
            <numRef>
              <f>'F5_EU8'!$A$5:$A$12</f>
            </numRef>
          </cat>
          <val>
            <numRef>
              <f>'F5_EU8'!$B$5:$B$12</f>
            </numRef>
          </val>
        </ser>
        <gapWidth val="80"/>
        <axId val="10"/>
        <axId val="100"/>
      </barChart>
      <catAx>
        <axId val="10"/>
        <scaling>
          <orientation val="minMax"/>
        </scaling>
        <axPos val="l"/>
        <title>
          <tx>
            <rich>
              <a:bodyPr/>
              <a:p>
                <a:pPr>
                  <a:defRPr/>
                </a:pPr>
                <a:r>
                  <a:t>% of internet users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7.xml><?xml version="1.0" encoding="utf-8"?>
<chartSpace xmlns:a="http://schemas.openxmlformats.org/drawingml/2006/main" xmlns="http://schemas.openxmlformats.org/drawingml/2006/chart">
  <chart>
    <plotArea>
      <scatterChart>
        <ser>
          <idx val="0"/>
          <order val="0"/>
          <tx>
            <strRef>
              <f>'F6_ADOPT_BENEFIT'!D4</f>
            </strRef>
          </tx>
          <spPr>
            <a:ln>
              <a:noFill/>
              <a:prstDash val="solid"/>
            </a:ln>
          </spPr>
          <marker>
            <symbol val="circle"/>
            <size val="9"/>
            <spPr>
              <a:solidFill>
                <a:srgbClr val="2E6DB4"/>
              </a:solidFill>
              <a:ln>
                <a:noFill/>
                <a:prstDash val="solid"/>
              </a:ln>
            </spPr>
          </marker>
          <trendline>
            <spPr>
              <a:ln w="16000">
                <a:solidFill>
                  <a:srgbClr val="A3A3A3"/>
                </a:solidFill>
                <a:prstDash val="solid"/>
              </a:ln>
            </spPr>
            <trendlineType val="linear"/>
            <dispRSqr val="0"/>
            <dispEq val="1"/>
          </trendline>
          <xVal>
            <numRef>
              <f>'F6_ADOPT_BENEFIT'!$C$5:$C$10</f>
            </numRef>
          </xVal>
          <yVal>
            <numRef>
              <f>'F6_ADOPT_BENEFIT'!$D$5:$D$10</f>
            </numRef>
          </yVal>
        </ser>
        <axId val="10"/>
        <axId val="20"/>
      </scatterChart>
      <valAx>
        <axId val="10"/>
        <scaling>
          <orientation val="minMax"/>
          <max val="100"/>
          <min val="50"/>
        </scaling>
        <axPos val="l"/>
        <title>
          <tx>
            <rich>
              <a:bodyPr/>
              <a:p>
                <a:pPr>
                  <a:defRPr/>
                </a:pPr>
                <a:r>
                  <a:t>Individuals who bought online (% of internet users)</a:t>
                </a:r>
              </a:p>
            </rich>
          </tx>
        </title>
        <majorTickMark val="none"/>
        <minorTickMark val="none"/>
        <spPr>
          <a:ln>
            <a:noFill/>
            <a:prstDash val="solid"/>
          </a:ln>
        </spPr>
        <crossAx val="20"/>
      </valAx>
      <valAx>
        <axId val="20"/>
        <scaling>
          <orientation val="minMax"/>
          <min val="0"/>
        </scaling>
        <axPos val="l"/>
        <title>
          <tx>
            <rich>
              <a:bodyPr/>
              <a:p>
                <a:pPr>
                  <a:defRPr/>
                </a:pPr>
                <a:r>
                  <a:t>E-sales as % of enterprise turnover</a:t>
                </a:r>
              </a:p>
            </rich>
          </tx>
        </title>
        <majorTickMark val="none"/>
        <minorTickMark val="none"/>
        <spPr>
          <a:ln>
            <a:noFill/>
            <a:prstDash val="solid"/>
          </a:ln>
        </spPr>
        <crossAx val="10"/>
      </valAx>
    </plotArea>
    <plotVisOnly val="1"/>
    <dispBlanksAs val="gap"/>
  </chart>
</chartSpace>
</file>

<file path=xl/charts/chart8.xml><?xml version="1.0" encoding="utf-8"?>
<chartSpace xmlns:a="http://schemas.openxmlformats.org/drawingml/2006/main" xmlns="http://schemas.openxmlformats.org/drawingml/2006/chart">
  <chart>
    <plotArea>
      <barChart>
        <barDir val="bar"/>
        <grouping val="clustered"/>
        <ser>
          <idx val="0"/>
          <order val="0"/>
          <tx>
            <strRef>
              <f>'F7_QUALITY'!B4</f>
            </strRef>
          </tx>
          <spPr>
            <a:solidFill>
              <a:srgbClr val="2E6DB4"/>
            </a:solidFill>
            <a:ln>
              <a:noFill/>
              <a:prstDash val="solid"/>
            </a:ln>
          </spPr>
          <cat>
            <numRef>
              <f>'F7_QUALITY'!$A$5:$A$8</f>
            </numRef>
          </cat>
          <val>
            <numRef>
              <f>'F7_QUALITY'!$B$5:$B$8</f>
            </numRef>
          </val>
        </ser>
        <ser>
          <idx val="1"/>
          <order val="1"/>
          <tx>
            <strRef>
              <f>'F7_QUALITY'!C4</f>
            </strRef>
          </tx>
          <spPr>
            <a:solidFill>
              <a:srgbClr val="A3A3A3"/>
            </a:solidFill>
            <a:ln>
              <a:noFill/>
              <a:prstDash val="solid"/>
            </a:ln>
          </spPr>
          <cat>
            <numRef>
              <f>'F7_QUALITY'!$A$5:$A$8</f>
            </numRef>
          </cat>
          <val>
            <numRef>
              <f>'F7_QUALITY'!$C$5:$C$8</f>
            </numRef>
          </val>
        </ser>
        <gapWidth val="80"/>
        <overlap val="-27"/>
        <axId val="10"/>
        <axId val="100"/>
      </barChart>
      <catAx>
        <axId val="10"/>
        <scaling>
          <orientation val="minMax"/>
        </scaling>
        <axPos val="l"/>
        <title>
          <tx>
            <rich>
              <a:bodyPr/>
              <a:p>
                <a:pPr>
                  <a:defRPr/>
                </a:pPr>
                <a:r>
                  <a:t>% or benchmark score</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legend>
      <legendPos val="b"/>
      <overlay val="0"/>
    </legend>
    <plotVisOnly val="1"/>
    <dispBlanksAs val="gap"/>
  </chart>
</chartSpace>
</file>

<file path=xl/charts/chart9.xml><?xml version="1.0" encoding="utf-8"?>
<chartSpace xmlns:a="http://schemas.openxmlformats.org/drawingml/2006/main" xmlns="http://schemas.openxmlformats.org/drawingml/2006/chart">
  <chart>
    <plotArea>
      <barChart>
        <barDir val="bar"/>
        <grouping val="clustered"/>
        <ser>
          <idx val="0"/>
          <order val="0"/>
          <tx>
            <strRef>
              <f>'F8_SMVDIGITAL'!B4</f>
            </strRef>
          </tx>
          <spPr>
            <a:solidFill>
              <a:srgbClr val="2E6DB4"/>
            </a:solidFill>
            <a:ln>
              <a:noFill/>
              <a:prstDash val="solid"/>
            </a:ln>
          </spPr>
          <cat>
            <numRef>
              <f>'F8_SMVDIGITAL'!$A$5:$A$7</f>
            </numRef>
          </cat>
          <val>
            <numRef>
              <f>'F8_SMVDIGITAL'!$B$5:$B$7</f>
            </numRef>
          </val>
        </ser>
        <gapWidth val="80"/>
        <axId val="10"/>
        <axId val="100"/>
      </barChart>
      <catAx>
        <axId val="10"/>
        <scaling>
          <orientation val="minMax"/>
        </scaling>
        <axPos val="l"/>
        <title>
          <tx>
            <rich>
              <a:bodyPr/>
              <a:p>
                <a:pPr>
                  <a:defRPr/>
                </a:pPr>
                <a:r>
                  <a:t>% of participating enterprises / count</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92</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F5_EU8</t>
        </is>
      </c>
      <c r="B28" s="6" t="inlineStr">
        <is>
          <t>Figure 5 - online purchasing, verified EU countries,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09_POLICY</t>
        </is>
      </c>
      <c r="B32" s="6" t="inlineStr">
        <is>
          <t>Policy events - dated instruments with legal citations</t>
        </is>
      </c>
    </row>
    <row r="33">
      <c r="A33" s="5" t="inlineStr">
        <is>
          <t>06_RETAIL_GAP</t>
        </is>
      </c>
      <c r="B33" s="6" t="inlineStr">
        <is>
          <t>Documented gap - retail volume index not retrieved</t>
        </is>
      </c>
    </row>
    <row r="34">
      <c r="A34" s="5" t="inlineStr">
        <is>
          <t>07_LIMITATIONS</t>
        </is>
      </c>
      <c r="B34" s="6" t="inlineStr">
        <is>
          <t>Data quality statement - read before citing</t>
        </is>
      </c>
    </row>
    <row r="35">
      <c r="A35" s="5" t="inlineStr">
        <is>
          <t>08_AI_LOG</t>
        </is>
      </c>
      <c r="B35"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extraction_date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row>
    <row r="26">
      <c r="A26" s="13" t="n">
        <v>25</v>
      </c>
      <c r="B26" s="14" t="inlineStr">
        <is>
          <t>DK.ECM.IND.BUY</t>
        </is>
      </c>
      <c r="C26" s="15" t="inlineStr">
        <is>
          <t>Individuals who bought online in last 12 months</t>
        </is>
      </c>
      <c r="D26" s="13" t="inlineStr">
        <is>
          <t>DK</t>
        </is>
      </c>
      <c r="E26" s="13" t="n">
        <v>2024</v>
      </c>
      <c r="F26" s="16" t="n">
        <v>91</v>
      </c>
      <c r="G26" s="13" t="inlineStr">
        <is>
          <t>%</t>
        </is>
      </c>
      <c r="H26" s="15" t="inlineStr">
        <is>
          <t>% of internet users</t>
        </is>
      </c>
      <c r="I26" s="13" t="inlineStr"/>
      <c r="J26" s="14" t="inlineStr">
        <is>
          <t>ES4</t>
        </is>
      </c>
      <c r="K26" s="13" t="inlineStr">
        <is>
          <t>2026-09-12</t>
        </is>
      </c>
      <c r="L26" s="15" t="inlineStr"/>
    </row>
    <row r="27">
      <c r="A27" s="13" t="n">
        <v>26</v>
      </c>
      <c r="B27" s="14" t="inlineStr">
        <is>
          <t>EU.ECM.IND.BUY</t>
        </is>
      </c>
      <c r="C27" s="15" t="inlineStr">
        <is>
          <t>Individuals who bought online in last 12 months</t>
        </is>
      </c>
      <c r="D27" s="13" t="inlineStr">
        <is>
          <t>EU27</t>
        </is>
      </c>
      <c r="E27" s="13" t="n">
        <v>2014</v>
      </c>
      <c r="F27" s="16" t="n">
        <v>59</v>
      </c>
      <c r="G27" s="13" t="inlineStr">
        <is>
          <t>%</t>
        </is>
      </c>
      <c r="H27" s="15" t="inlineStr">
        <is>
          <t>% of internet users</t>
        </is>
      </c>
      <c r="I27" s="13" t="inlineStr"/>
      <c r="J27" s="14" t="inlineStr">
        <is>
          <t>ES4</t>
        </is>
      </c>
      <c r="K27" s="13" t="inlineStr">
        <is>
          <t>2026-09-12</t>
        </is>
      </c>
      <c r="L27" s="15" t="inlineStr"/>
    </row>
    <row r="28">
      <c r="A28" s="13" t="n">
        <v>27</v>
      </c>
      <c r="B28" s="14" t="inlineStr">
        <is>
          <t>EU.ECM.IND.BUY</t>
        </is>
      </c>
      <c r="C28" s="15" t="inlineStr">
        <is>
          <t>Individuals who bought online in last 12 months</t>
        </is>
      </c>
      <c r="D28" s="13" t="inlineStr">
        <is>
          <t>EU27</t>
        </is>
      </c>
      <c r="E28" s="13" t="n">
        <v>2024</v>
      </c>
      <c r="F28" s="16" t="n">
        <v>77</v>
      </c>
      <c r="G28" s="13" t="inlineStr">
        <is>
          <t>%</t>
        </is>
      </c>
      <c r="H28" s="15" t="inlineStr">
        <is>
          <t>% of internet users</t>
        </is>
      </c>
      <c r="I28" s="13" t="inlineStr"/>
      <c r="J28" s="14" t="inlineStr">
        <is>
          <t>ES4</t>
        </is>
      </c>
      <c r="K28" s="13" t="inlineStr">
        <is>
          <t>2026-09-12</t>
        </is>
      </c>
      <c r="L28" s="15" t="inlineStr"/>
    </row>
    <row r="29">
      <c r="A29" s="13" t="n">
        <v>28</v>
      </c>
      <c r="B29" s="14" t="inlineStr">
        <is>
          <t>IE.ECM.IND.BUY</t>
        </is>
      </c>
      <c r="C29" s="15" t="inlineStr">
        <is>
          <t>Individuals who bought online in last 12 months</t>
        </is>
      </c>
      <c r="D29" s="13" t="inlineStr">
        <is>
          <t>IE</t>
        </is>
      </c>
      <c r="E29" s="13" t="n">
        <v>2024</v>
      </c>
      <c r="F29" s="16" t="n">
        <v>96</v>
      </c>
      <c r="G29" s="13" t="inlineStr">
        <is>
          <t>%</t>
        </is>
      </c>
      <c r="H29" s="15" t="inlineStr">
        <is>
          <t>% of internet users</t>
        </is>
      </c>
      <c r="I29" s="13" t="inlineStr"/>
      <c r="J29" s="14" t="inlineStr">
        <is>
          <t>ES4</t>
        </is>
      </c>
      <c r="K29" s="13" t="inlineStr">
        <is>
          <t>2026-09-12</t>
        </is>
      </c>
      <c r="L29" s="15" t="inlineStr">
        <is>
          <t>Highest in EU.</t>
        </is>
      </c>
    </row>
    <row r="30">
      <c r="A30" s="13" t="n">
        <v>29</v>
      </c>
      <c r="B30" s="14" t="inlineStr">
        <is>
          <t>NL.ECM.IND.BUY</t>
        </is>
      </c>
      <c r="C30" s="15" t="inlineStr">
        <is>
          <t>Individuals who bought online in last 12 months</t>
        </is>
      </c>
      <c r="D30" s="13" t="inlineStr">
        <is>
          <t>NL</t>
        </is>
      </c>
      <c r="E30" s="13" t="n">
        <v>2024</v>
      </c>
      <c r="F30" s="16" t="n">
        <v>94</v>
      </c>
      <c r="G30" s="13" t="inlineStr">
        <is>
          <t>%</t>
        </is>
      </c>
      <c r="H30" s="15" t="inlineStr">
        <is>
          <t>% of internet users</t>
        </is>
      </c>
      <c r="I30" s="13" t="inlineStr"/>
      <c r="J30" s="14" t="inlineStr">
        <is>
          <t>ES4</t>
        </is>
      </c>
      <c r="K30" s="13" t="inlineStr">
        <is>
          <t>2026-09-12</t>
        </is>
      </c>
      <c r="L30" s="15" t="inlineStr"/>
    </row>
    <row r="31">
      <c r="A31" s="13" t="n">
        <v>30</v>
      </c>
      <c r="B31" s="14" t="inlineStr">
        <is>
          <t>DE.ECM.IND.BUY</t>
        </is>
      </c>
      <c r="C31" s="15" t="inlineStr">
        <is>
          <t>Individuals who bought online in last 12 months</t>
        </is>
      </c>
      <c r="D31" s="13" t="inlineStr">
        <is>
          <t>DE</t>
        </is>
      </c>
      <c r="E31" s="13" t="n">
        <v>2024</v>
      </c>
      <c r="F31" s="16" t="n">
        <v>83</v>
      </c>
      <c r="G31" s="13" t="inlineStr">
        <is>
          <t>%</t>
        </is>
      </c>
      <c r="H31" s="15" t="inlineStr">
        <is>
          <t>% of internet users</t>
        </is>
      </c>
      <c r="I31" s="13" t="inlineStr"/>
      <c r="J31" s="14" t="inlineStr">
        <is>
          <t>ES4</t>
        </is>
      </c>
      <c r="K31" s="13" t="inlineStr">
        <is>
          <t>2026-09-12</t>
        </is>
      </c>
      <c r="L31" s="15" t="inlineStr">
        <is>
          <t>Ranked 8th in EU.</t>
        </is>
      </c>
    </row>
    <row r="32">
      <c r="A32" s="13" t="n">
        <v>31</v>
      </c>
      <c r="B32" s="14" t="inlineStr">
        <is>
          <t>IT.ECM.IND.BUY</t>
        </is>
      </c>
      <c r="C32" s="15" t="inlineStr">
        <is>
          <t>Individuals who bought online in last 12 months</t>
        </is>
      </c>
      <c r="D32" s="13" t="inlineStr">
        <is>
          <t>IT</t>
        </is>
      </c>
      <c r="E32" s="13" t="n">
        <v>2024</v>
      </c>
      <c r="F32" s="16" t="n">
        <v>60</v>
      </c>
      <c r="G32" s="13" t="inlineStr">
        <is>
          <t>%</t>
        </is>
      </c>
      <c r="H32" s="15" t="inlineStr">
        <is>
          <t>% of internet users</t>
        </is>
      </c>
      <c r="I32" s="13" t="inlineStr"/>
      <c r="J32" s="14" t="inlineStr">
        <is>
          <t>ES4</t>
        </is>
      </c>
      <c r="K32" s="13" t="inlineStr">
        <is>
          <t>2026-09-12</t>
        </is>
      </c>
      <c r="L32" s="15" t="inlineStr"/>
    </row>
    <row r="33">
      <c r="A33" s="13" t="n">
        <v>32</v>
      </c>
      <c r="B33" s="14" t="inlineStr">
        <is>
          <t>RO.ECM.IND.BUY</t>
        </is>
      </c>
      <c r="C33" s="15" t="inlineStr">
        <is>
          <t>Individuals who bought online in last 12 months</t>
        </is>
      </c>
      <c r="D33" s="13" t="inlineStr">
        <is>
          <t>RO</t>
        </is>
      </c>
      <c r="E33" s="13" t="n">
        <v>2024</v>
      </c>
      <c r="F33" s="16" t="n">
        <v>60</v>
      </c>
      <c r="G33" s="13" t="inlineStr">
        <is>
          <t>%</t>
        </is>
      </c>
      <c r="H33" s="15" t="inlineStr">
        <is>
          <t>% of internet users</t>
        </is>
      </c>
      <c r="I33" s="13" t="inlineStr"/>
      <c r="J33" s="14" t="inlineStr">
        <is>
          <t>ES4</t>
        </is>
      </c>
      <c r="K33" s="13" t="inlineStr">
        <is>
          <t>2026-09-12</t>
        </is>
      </c>
      <c r="L33" s="15" t="inlineStr"/>
    </row>
    <row r="34">
      <c r="A34" s="13" t="n">
        <v>33</v>
      </c>
      <c r="B34" s="14" t="inlineStr">
        <is>
          <t>BG.ECM.IND.BUY</t>
        </is>
      </c>
      <c r="C34" s="15" t="inlineStr">
        <is>
          <t>Individuals who bought online in last 12 months</t>
        </is>
      </c>
      <c r="D34" s="13" t="inlineStr">
        <is>
          <t>BG</t>
        </is>
      </c>
      <c r="E34" s="13" t="n">
        <v>2024</v>
      </c>
      <c r="F34" s="16" t="n">
        <v>57</v>
      </c>
      <c r="G34" s="13" t="inlineStr">
        <is>
          <t>%</t>
        </is>
      </c>
      <c r="H34" s="15" t="inlineStr">
        <is>
          <t>% of internet users</t>
        </is>
      </c>
      <c r="I34" s="13" t="inlineStr"/>
      <c r="J34" s="14" t="inlineStr">
        <is>
          <t>ES4</t>
        </is>
      </c>
      <c r="K34" s="13" t="inlineStr">
        <is>
          <t>2026-09-12</t>
        </is>
      </c>
      <c r="L34" s="15" t="inlineStr">
        <is>
          <t>Lowest in EU.</t>
        </is>
      </c>
    </row>
    <row r="35">
      <c r="A35" s="13" t="n">
        <v>34</v>
      </c>
      <c r="B35" s="14" t="inlineStr">
        <is>
          <t>DK.ECM.ENT.TRN</t>
        </is>
      </c>
      <c r="C35" s="15" t="inlineStr">
        <is>
          <t>E-sales as share of enterprise turnover</t>
        </is>
      </c>
      <c r="D35" s="13" t="inlineStr">
        <is>
          <t>DK</t>
        </is>
      </c>
      <c r="E35" s="13" t="n">
        <v>2014</v>
      </c>
      <c r="F35" s="16" t="n">
        <v>17.05</v>
      </c>
      <c r="G35" s="13" t="inlineStr">
        <is>
          <t>%</t>
        </is>
      </c>
      <c r="H35" s="15" t="inlineStr">
        <is>
          <t>% of total enterprise turnover</t>
        </is>
      </c>
      <c r="I35" s="13" t="inlineStr"/>
      <c r="J35" s="14" t="inlineStr">
        <is>
          <t>ES5</t>
        </is>
      </c>
      <c r="K35" s="13" t="inlineStr">
        <is>
          <t>2026-09-12</t>
        </is>
      </c>
      <c r="L35" s="15" t="inlineStr"/>
    </row>
    <row r="36">
      <c r="A36" s="13" t="n">
        <v>35</v>
      </c>
      <c r="B36" s="14" t="inlineStr">
        <is>
          <t>DK.ECM.ENT.TRN</t>
        </is>
      </c>
      <c r="C36" s="15" t="inlineStr">
        <is>
          <t>E-sales as share of enterprise turnover</t>
        </is>
      </c>
      <c r="D36" s="13" t="inlineStr">
        <is>
          <t>DK</t>
        </is>
      </c>
      <c r="E36" s="13" t="n">
        <v>2024</v>
      </c>
      <c r="F36" s="16" t="n">
        <v>33.31</v>
      </c>
      <c r="G36" s="13" t="inlineStr">
        <is>
          <t>%</t>
        </is>
      </c>
      <c r="H36" s="15" t="inlineStr">
        <is>
          <t>% of total enterprise turnover</t>
        </is>
      </c>
      <c r="I36" s="13" t="inlineStr"/>
      <c r="J36" s="14" t="inlineStr">
        <is>
          <t>ES5</t>
        </is>
      </c>
      <c r="K36" s="13" t="inlineStr">
        <is>
          <t>2026-09-12</t>
        </is>
      </c>
      <c r="L36" s="15" t="inlineStr">
        <is>
          <t>2nd in EU after Ireland.</t>
        </is>
      </c>
    </row>
    <row r="37">
      <c r="A37" s="13" t="n">
        <v>36</v>
      </c>
      <c r="B37" s="14" t="inlineStr">
        <is>
          <t>EU.ECM.ENT.TRN</t>
        </is>
      </c>
      <c r="C37" s="15" t="inlineStr">
        <is>
          <t>E-sales as share of enterprise turnover</t>
        </is>
      </c>
      <c r="D37" s="13" t="inlineStr">
        <is>
          <t>EU27</t>
        </is>
      </c>
      <c r="E37" s="13" t="n">
        <v>2014</v>
      </c>
      <c r="F37" s="16" t="n">
        <v>16.43</v>
      </c>
      <c r="G37" s="13" t="inlineStr">
        <is>
          <t>%</t>
        </is>
      </c>
      <c r="H37" s="15" t="inlineStr">
        <is>
          <t>% of total enterprise turnover</t>
        </is>
      </c>
      <c r="I37" s="13" t="inlineStr"/>
      <c r="J37" s="14" t="inlineStr">
        <is>
          <t>ES5</t>
        </is>
      </c>
      <c r="K37" s="13" t="inlineStr">
        <is>
          <t>2026-09-12</t>
        </is>
      </c>
      <c r="L37" s="15" t="inlineStr"/>
    </row>
    <row r="38">
      <c r="A38" s="13" t="n">
        <v>37</v>
      </c>
      <c r="B38" s="14" t="inlineStr">
        <is>
          <t>EU.ECM.ENT.TRN</t>
        </is>
      </c>
      <c r="C38" s="15" t="inlineStr">
        <is>
          <t>E-sales as share of enterprise turnover</t>
        </is>
      </c>
      <c r="D38" s="13" t="inlineStr">
        <is>
          <t>EU27</t>
        </is>
      </c>
      <c r="E38" s="13" t="n">
        <v>2024</v>
      </c>
      <c r="F38" s="16" t="n">
        <v>19.49</v>
      </c>
      <c r="G38" s="13" t="inlineStr">
        <is>
          <t>%</t>
        </is>
      </c>
      <c r="H38" s="15" t="inlineStr">
        <is>
          <t>% of total enterprise turnover</t>
        </is>
      </c>
      <c r="I38" s="13" t="inlineStr"/>
      <c r="J38" s="14" t="inlineStr">
        <is>
          <t>ES5</t>
        </is>
      </c>
      <c r="K38" s="13" t="inlineStr">
        <is>
          <t>2026-09-12</t>
        </is>
      </c>
      <c r="L38" s="15" t="inlineStr"/>
    </row>
    <row r="39">
      <c r="A39" s="13" t="n">
        <v>38</v>
      </c>
      <c r="B39" s="14" t="inlineStr">
        <is>
          <t>IE.ECM.ENT.TRN</t>
        </is>
      </c>
      <c r="C39" s="15" t="inlineStr">
        <is>
          <t>E-sales as share of enterprise turnover</t>
        </is>
      </c>
      <c r="D39" s="13" t="inlineStr">
        <is>
          <t>IE</t>
        </is>
      </c>
      <c r="E39" s="13" t="n">
        <v>2024</v>
      </c>
      <c r="F39" s="16" t="n">
        <v>38.25</v>
      </c>
      <c r="G39" s="13" t="inlineStr">
        <is>
          <t>%</t>
        </is>
      </c>
      <c r="H39" s="15" t="inlineStr">
        <is>
          <t>% of total enterprise turnover</t>
        </is>
      </c>
      <c r="I39" s="13" t="inlineStr"/>
      <c r="J39" s="14" t="inlineStr">
        <is>
          <t>ES5</t>
        </is>
      </c>
      <c r="K39" s="13" t="inlineStr">
        <is>
          <t>2026-09-12</t>
        </is>
      </c>
      <c r="L39" s="15" t="inlineStr">
        <is>
          <t>Highest in EU.</t>
        </is>
      </c>
    </row>
    <row r="40">
      <c r="A40" s="13" t="n">
        <v>39</v>
      </c>
      <c r="B40" s="14" t="inlineStr">
        <is>
          <t>HU.ECM.IND.BUY</t>
        </is>
      </c>
      <c r="C40" s="15" t="inlineStr">
        <is>
          <t>Individuals who bought online in last 12 months</t>
        </is>
      </c>
      <c r="D40" s="13" t="inlineStr">
        <is>
          <t>HU</t>
        </is>
      </c>
      <c r="E40" s="13" t="n">
        <v>2024</v>
      </c>
      <c r="F40" s="16" t="n">
        <v>79</v>
      </c>
      <c r="G40" s="13" t="inlineStr">
        <is>
          <t>%</t>
        </is>
      </c>
      <c r="H40" s="15" t="inlineStr">
        <is>
          <t>% of internet users</t>
        </is>
      </c>
      <c r="I40" s="13" t="inlineStr"/>
      <c r="J40" s="14" t="inlineStr">
        <is>
          <t>ES4</t>
        </is>
      </c>
      <c r="K40" s="13" t="inlineStr">
        <is>
          <t>2026-09-12</t>
        </is>
      </c>
      <c r="L40" s="15" t="inlineStr">
        <is>
          <t>Rose 37pp from 42% in 2014.</t>
        </is>
      </c>
    </row>
    <row r="41">
      <c r="A41" s="13" t="n">
        <v>40</v>
      </c>
      <c r="B41" s="14" t="inlineStr">
        <is>
          <t>LT.ECM.IND.BUY</t>
        </is>
      </c>
      <c r="C41" s="15" t="inlineStr">
        <is>
          <t>Individuals who bought online in last 12 months</t>
        </is>
      </c>
      <c r="D41" s="13" t="inlineStr">
        <is>
          <t>LT</t>
        </is>
      </c>
      <c r="E41" s="13" t="n">
        <v>2024</v>
      </c>
      <c r="F41" s="16" t="n">
        <v>72</v>
      </c>
      <c r="G41" s="13" t="inlineStr">
        <is>
          <t>%</t>
        </is>
      </c>
      <c r="H41" s="15" t="inlineStr">
        <is>
          <t>% of internet users</t>
        </is>
      </c>
      <c r="I41" s="13" t="inlineStr"/>
      <c r="J41" s="14" t="inlineStr">
        <is>
          <t>ES4</t>
        </is>
      </c>
      <c r="K41" s="13" t="inlineStr">
        <is>
          <t>2026-09-12</t>
        </is>
      </c>
      <c r="L41" s="15" t="inlineStr">
        <is>
          <t>Rose 36pp from 36% in 2014.</t>
        </is>
      </c>
    </row>
    <row r="42">
      <c r="A42" s="18" t="n">
        <v>41</v>
      </c>
      <c r="B42" s="19" t="inlineStr">
        <is>
          <t>BE.ECM.ENT.TRN</t>
        </is>
      </c>
      <c r="C42" s="20" t="inlineStr">
        <is>
          <t>E-sales as share of enterprise turnover</t>
        </is>
      </c>
      <c r="D42" s="18" t="inlineStr">
        <is>
          <t>BE</t>
        </is>
      </c>
      <c r="E42" s="18" t="n">
        <v>2024</v>
      </c>
      <c r="F42" s="22" t="n">
        <v>29.51</v>
      </c>
      <c r="G42" s="18" t="inlineStr">
        <is>
          <t>%</t>
        </is>
      </c>
      <c r="H42" s="20" t="inlineStr">
        <is>
          <t>% of total enterprise turnover</t>
        </is>
      </c>
      <c r="I42" s="18" t="inlineStr">
        <is>
          <t>u</t>
        </is>
      </c>
      <c r="J42" s="19" t="inlineStr">
        <is>
          <t>ES6</t>
        </is>
      </c>
      <c r="K42" s="18" t="inlineStr">
        <is>
          <t>2026-09-12</t>
        </is>
      </c>
      <c r="L42" s="20" t="inlineStr"/>
    </row>
    <row r="43">
      <c r="A43" s="18" t="n">
        <v>42</v>
      </c>
      <c r="B43" s="19" t="inlineStr">
        <is>
          <t>SE.ECM.ENT.TRN</t>
        </is>
      </c>
      <c r="C43" s="20" t="inlineStr">
        <is>
          <t>E-sales as share of enterprise turnover</t>
        </is>
      </c>
      <c r="D43" s="18" t="inlineStr">
        <is>
          <t>SE</t>
        </is>
      </c>
      <c r="E43" s="18" t="n">
        <v>2024</v>
      </c>
      <c r="F43" s="22" t="n">
        <v>26.32</v>
      </c>
      <c r="G43" s="18" t="inlineStr">
        <is>
          <t>%</t>
        </is>
      </c>
      <c r="H43" s="20" t="inlineStr">
        <is>
          <t>% of total enterprise turnover</t>
        </is>
      </c>
      <c r="I43" s="18" t="inlineStr">
        <is>
          <t>u</t>
        </is>
      </c>
      <c r="J43" s="19" t="inlineStr">
        <is>
          <t>ES6</t>
        </is>
      </c>
      <c r="K43" s="18" t="inlineStr">
        <is>
          <t>2026-09-12</t>
        </is>
      </c>
      <c r="L43" s="20" t="inlineStr"/>
    </row>
    <row r="44">
      <c r="A44" s="18" t="n">
        <v>43</v>
      </c>
      <c r="B44" s="19" t="inlineStr">
        <is>
          <t>CZ.ECM.ENT.TRN</t>
        </is>
      </c>
      <c r="C44" s="20" t="inlineStr">
        <is>
          <t>E-sales as share of enterprise turnover</t>
        </is>
      </c>
      <c r="D44" s="18" t="inlineStr">
        <is>
          <t>CZ</t>
        </is>
      </c>
      <c r="E44" s="18" t="n">
        <v>2024</v>
      </c>
      <c r="F44" s="22" t="n">
        <v>25.65</v>
      </c>
      <c r="G44" s="18" t="inlineStr">
        <is>
          <t>%</t>
        </is>
      </c>
      <c r="H44" s="20" t="inlineStr">
        <is>
          <t>% of total enterprise turnover</t>
        </is>
      </c>
      <c r="I44" s="18" t="inlineStr">
        <is>
          <t>u</t>
        </is>
      </c>
      <c r="J44" s="19" t="inlineStr">
        <is>
          <t>ES6</t>
        </is>
      </c>
      <c r="K44" s="18" t="inlineStr">
        <is>
          <t>2026-09-12</t>
        </is>
      </c>
      <c r="L44" s="20" t="inlineStr"/>
    </row>
    <row r="45">
      <c r="A45" s="18" t="n">
        <v>44</v>
      </c>
      <c r="B45" s="19" t="inlineStr">
        <is>
          <t>LU.ECM.ENT.TRN</t>
        </is>
      </c>
      <c r="C45" s="20" t="inlineStr">
        <is>
          <t>E-sales as share of enterprise turnover</t>
        </is>
      </c>
      <c r="D45" s="18" t="inlineStr">
        <is>
          <t>LU</t>
        </is>
      </c>
      <c r="E45" s="18" t="n">
        <v>2024</v>
      </c>
      <c r="F45" s="22" t="n">
        <v>23.86</v>
      </c>
      <c r="G45" s="18" t="inlineStr">
        <is>
          <t>%</t>
        </is>
      </c>
      <c r="H45" s="20" t="inlineStr">
        <is>
          <t>% of total enterprise turnover</t>
        </is>
      </c>
      <c r="I45" s="18" t="inlineStr">
        <is>
          <t>u</t>
        </is>
      </c>
      <c r="J45" s="19" t="inlineStr">
        <is>
          <t>ES6</t>
        </is>
      </c>
      <c r="K45" s="18" t="inlineStr">
        <is>
          <t>2026-09-12</t>
        </is>
      </c>
      <c r="L45" s="20" t="inlineStr"/>
    </row>
    <row r="46">
      <c r="A46" s="18" t="n">
        <v>45</v>
      </c>
      <c r="B46" s="19" t="inlineStr">
        <is>
          <t>HU.ECM.ENT.TRN</t>
        </is>
      </c>
      <c r="C46" s="20" t="inlineStr">
        <is>
          <t>E-sales as share of enterprise turnover</t>
        </is>
      </c>
      <c r="D46" s="18" t="inlineStr">
        <is>
          <t>HU</t>
        </is>
      </c>
      <c r="E46" s="18" t="n">
        <v>2024</v>
      </c>
      <c r="F46" s="22" t="n">
        <v>21.35</v>
      </c>
      <c r="G46" s="18" t="inlineStr">
        <is>
          <t>%</t>
        </is>
      </c>
      <c r="H46" s="20" t="inlineStr">
        <is>
          <t>% of total enterprise turnover</t>
        </is>
      </c>
      <c r="I46" s="18" t="inlineStr">
        <is>
          <t>u</t>
        </is>
      </c>
      <c r="J46" s="19" t="inlineStr">
        <is>
          <t>ES6</t>
        </is>
      </c>
      <c r="K46" s="18" t="inlineStr">
        <is>
          <t>2026-09-12</t>
        </is>
      </c>
      <c r="L46" s="20" t="inlineStr"/>
    </row>
    <row r="47">
      <c r="A47" s="18" t="n">
        <v>46</v>
      </c>
      <c r="B47" s="19" t="inlineStr">
        <is>
          <t>DE.ECM.ENT.TRN</t>
        </is>
      </c>
      <c r="C47" s="20" t="inlineStr">
        <is>
          <t>E-sales as share of enterprise turnover</t>
        </is>
      </c>
      <c r="D47" s="18" t="inlineStr">
        <is>
          <t>DE</t>
        </is>
      </c>
      <c r="E47" s="18" t="n">
        <v>2024</v>
      </c>
      <c r="F47" s="22" t="n">
        <v>19.05</v>
      </c>
      <c r="G47" s="18" t="inlineStr">
        <is>
          <t>%</t>
        </is>
      </c>
      <c r="H47" s="20" t="inlineStr">
        <is>
          <t>% of total enterprise turnover</t>
        </is>
      </c>
      <c r="I47" s="18" t="inlineStr">
        <is>
          <t>u</t>
        </is>
      </c>
      <c r="J47" s="19" t="inlineStr">
        <is>
          <t>ES6</t>
        </is>
      </c>
      <c r="K47" s="18" t="inlineStr">
        <is>
          <t>2026-09-12</t>
        </is>
      </c>
      <c r="L47" s="20" t="inlineStr"/>
    </row>
    <row r="48">
      <c r="A48" s="18" t="n">
        <v>47</v>
      </c>
      <c r="B48" s="19" t="inlineStr">
        <is>
          <t>AT.ECM.ENT.TRN</t>
        </is>
      </c>
      <c r="C48" s="20" t="inlineStr">
        <is>
          <t>E-sales as share of enterprise turnover</t>
        </is>
      </c>
      <c r="D48" s="18" t="inlineStr">
        <is>
          <t>AT</t>
        </is>
      </c>
      <c r="E48" s="18" t="n">
        <v>2024</v>
      </c>
      <c r="F48" s="22" t="n">
        <v>18.96</v>
      </c>
      <c r="G48" s="18" t="inlineStr">
        <is>
          <t>%</t>
        </is>
      </c>
      <c r="H48" s="20" t="inlineStr">
        <is>
          <t>% of total enterprise turnover</t>
        </is>
      </c>
      <c r="I48" s="18" t="inlineStr">
        <is>
          <t>u</t>
        </is>
      </c>
      <c r="J48" s="19" t="inlineStr">
        <is>
          <t>ES6</t>
        </is>
      </c>
      <c r="K48" s="18" t="inlineStr">
        <is>
          <t>2026-09-12</t>
        </is>
      </c>
      <c r="L48" s="20" t="inlineStr"/>
    </row>
    <row r="49">
      <c r="A49" s="18" t="n">
        <v>48</v>
      </c>
      <c r="B49" s="19" t="inlineStr">
        <is>
          <t>HR.ECM.ENT.TRN</t>
        </is>
      </c>
      <c r="C49" s="20" t="inlineStr">
        <is>
          <t>E-sales as share of enterprise turnover</t>
        </is>
      </c>
      <c r="D49" s="18" t="inlineStr">
        <is>
          <t>HR</t>
        </is>
      </c>
      <c r="E49" s="18" t="n">
        <v>2024</v>
      </c>
      <c r="F49" s="22" t="n">
        <v>18.48</v>
      </c>
      <c r="G49" s="18" t="inlineStr">
        <is>
          <t>%</t>
        </is>
      </c>
      <c r="H49" s="20" t="inlineStr">
        <is>
          <t>% of total enterprise turnover</t>
        </is>
      </c>
      <c r="I49" s="18" t="inlineStr">
        <is>
          <t>u</t>
        </is>
      </c>
      <c r="J49" s="19" t="inlineStr">
        <is>
          <t>ES6</t>
        </is>
      </c>
      <c r="K49" s="18" t="inlineStr">
        <is>
          <t>2026-09-12</t>
        </is>
      </c>
      <c r="L49" s="20" t="inlineStr"/>
    </row>
    <row r="50">
      <c r="A50" s="18" t="n">
        <v>49</v>
      </c>
      <c r="B50" s="19" t="inlineStr">
        <is>
          <t>ES.ECM.ENT.TRN</t>
        </is>
      </c>
      <c r="C50" s="20" t="inlineStr">
        <is>
          <t>E-sales as share of enterprise turnover</t>
        </is>
      </c>
      <c r="D50" s="18" t="inlineStr">
        <is>
          <t>ES</t>
        </is>
      </c>
      <c r="E50" s="18" t="n">
        <v>2024</v>
      </c>
      <c r="F50" s="22" t="n">
        <v>18.27</v>
      </c>
      <c r="G50" s="18" t="inlineStr">
        <is>
          <t>%</t>
        </is>
      </c>
      <c r="H50" s="20" t="inlineStr">
        <is>
          <t>% of total enterprise turnover</t>
        </is>
      </c>
      <c r="I50" s="18" t="inlineStr">
        <is>
          <t>u</t>
        </is>
      </c>
      <c r="J50" s="19" t="inlineStr">
        <is>
          <t>ES6</t>
        </is>
      </c>
      <c r="K50" s="18" t="inlineStr">
        <is>
          <t>2026-09-12</t>
        </is>
      </c>
      <c r="L50" s="20" t="inlineStr"/>
    </row>
    <row r="51">
      <c r="A51" s="18" t="n">
        <v>50</v>
      </c>
      <c r="B51" s="19" t="inlineStr">
        <is>
          <t>PL.ECM.ENT.TRN</t>
        </is>
      </c>
      <c r="C51" s="20" t="inlineStr">
        <is>
          <t>E-sales as share of enterprise turnover</t>
        </is>
      </c>
      <c r="D51" s="18" t="inlineStr">
        <is>
          <t>PL</t>
        </is>
      </c>
      <c r="E51" s="18" t="n">
        <v>2024</v>
      </c>
      <c r="F51" s="22" t="n">
        <v>17.66</v>
      </c>
      <c r="G51" s="18" t="inlineStr">
        <is>
          <t>%</t>
        </is>
      </c>
      <c r="H51" s="20" t="inlineStr">
        <is>
          <t>% of total enterprise turnover</t>
        </is>
      </c>
      <c r="I51" s="18" t="inlineStr">
        <is>
          <t>u</t>
        </is>
      </c>
      <c r="J51" s="19" t="inlineStr">
        <is>
          <t>ES6</t>
        </is>
      </c>
      <c r="K51" s="18" t="inlineStr">
        <is>
          <t>2026-09-12</t>
        </is>
      </c>
      <c r="L51" s="20" t="inlineStr"/>
    </row>
    <row r="52">
      <c r="A52" s="18" t="n">
        <v>51</v>
      </c>
      <c r="B52" s="19" t="inlineStr">
        <is>
          <t>SI.ECM.ENT.TRN</t>
        </is>
      </c>
      <c r="C52" s="20" t="inlineStr">
        <is>
          <t>E-sales as share of enterprise turnover</t>
        </is>
      </c>
      <c r="D52" s="18" t="inlineStr">
        <is>
          <t>SI</t>
        </is>
      </c>
      <c r="E52" s="18" t="n">
        <v>2024</v>
      </c>
      <c r="F52" s="22" t="n">
        <v>16.78</v>
      </c>
      <c r="G52" s="18" t="inlineStr">
        <is>
          <t>%</t>
        </is>
      </c>
      <c r="H52" s="20" t="inlineStr">
        <is>
          <t>% of total enterprise turnover</t>
        </is>
      </c>
      <c r="I52" s="18" t="inlineStr">
        <is>
          <t>u</t>
        </is>
      </c>
      <c r="J52" s="19" t="inlineStr">
        <is>
          <t>ES6</t>
        </is>
      </c>
      <c r="K52" s="18" t="inlineStr">
        <is>
          <t>2026-09-12</t>
        </is>
      </c>
      <c r="L52" s="20" t="inlineStr"/>
    </row>
    <row r="53">
      <c r="A53" s="18" t="n">
        <v>52</v>
      </c>
      <c r="B53" s="19" t="inlineStr">
        <is>
          <t>IT.ECM.ENT.TRN</t>
        </is>
      </c>
      <c r="C53" s="20" t="inlineStr">
        <is>
          <t>E-sales as share of enterprise turnover</t>
        </is>
      </c>
      <c r="D53" s="18" t="inlineStr">
        <is>
          <t>IT</t>
        </is>
      </c>
      <c r="E53" s="18" t="n">
        <v>2024</v>
      </c>
      <c r="F53" s="22" t="n">
        <v>15.66</v>
      </c>
      <c r="G53" s="18" t="inlineStr">
        <is>
          <t>%</t>
        </is>
      </c>
      <c r="H53" s="20" t="inlineStr">
        <is>
          <t>% of total enterprise turnover</t>
        </is>
      </c>
      <c r="I53" s="18" t="inlineStr">
        <is>
          <t>u</t>
        </is>
      </c>
      <c r="J53" s="19" t="inlineStr">
        <is>
          <t>ES6</t>
        </is>
      </c>
      <c r="K53" s="18" t="inlineStr">
        <is>
          <t>2026-09-12</t>
        </is>
      </c>
      <c r="L53" s="20" t="inlineStr"/>
    </row>
    <row r="54">
      <c r="A54" s="18" t="n">
        <v>53</v>
      </c>
      <c r="B54" s="19" t="inlineStr">
        <is>
          <t>MT.ECM.ENT.TRN</t>
        </is>
      </c>
      <c r="C54" s="20" t="inlineStr">
        <is>
          <t>E-sales as share of enterprise turnover</t>
        </is>
      </c>
      <c r="D54" s="18" t="inlineStr">
        <is>
          <t>MT</t>
        </is>
      </c>
      <c r="E54" s="18" t="n">
        <v>2024</v>
      </c>
      <c r="F54" s="22" t="n">
        <v>15.46</v>
      </c>
      <c r="G54" s="18" t="inlineStr">
        <is>
          <t>%</t>
        </is>
      </c>
      <c r="H54" s="20" t="inlineStr">
        <is>
          <t>% of total enterprise turnover</t>
        </is>
      </c>
      <c r="I54" s="18" t="inlineStr">
        <is>
          <t>u</t>
        </is>
      </c>
      <c r="J54" s="19" t="inlineStr">
        <is>
          <t>ES6</t>
        </is>
      </c>
      <c r="K54" s="18" t="inlineStr">
        <is>
          <t>2026-09-12</t>
        </is>
      </c>
      <c r="L54" s="20" t="inlineStr"/>
    </row>
    <row r="55">
      <c r="A55" s="18" t="n">
        <v>54</v>
      </c>
      <c r="B55" s="19" t="inlineStr">
        <is>
          <t>FR.ECM.ENT.TRN</t>
        </is>
      </c>
      <c r="C55" s="20" t="inlineStr">
        <is>
          <t>E-sales as share of enterprise turnover</t>
        </is>
      </c>
      <c r="D55" s="18" t="inlineStr">
        <is>
          <t>FR</t>
        </is>
      </c>
      <c r="E55" s="18" t="n">
        <v>2024</v>
      </c>
      <c r="F55" s="22" t="n">
        <v>14.25</v>
      </c>
      <c r="G55" s="18" t="inlineStr">
        <is>
          <t>%</t>
        </is>
      </c>
      <c r="H55" s="20" t="inlineStr">
        <is>
          <t>% of total enterprise turnover</t>
        </is>
      </c>
      <c r="I55" s="18" t="inlineStr">
        <is>
          <t>u</t>
        </is>
      </c>
      <c r="J55" s="19" t="inlineStr">
        <is>
          <t>ES6</t>
        </is>
      </c>
      <c r="K55" s="18" t="inlineStr">
        <is>
          <t>2026-09-12</t>
        </is>
      </c>
      <c r="L55" s="20" t="inlineStr"/>
    </row>
    <row r="56">
      <c r="A56" s="18" t="n">
        <v>55</v>
      </c>
      <c r="B56" s="19" t="inlineStr">
        <is>
          <t>CY.ECM.ENT.TRN</t>
        </is>
      </c>
      <c r="C56" s="20" t="inlineStr">
        <is>
          <t>E-sales as share of enterprise turnover</t>
        </is>
      </c>
      <c r="D56" s="18" t="inlineStr">
        <is>
          <t>CY</t>
        </is>
      </c>
      <c r="E56" s="18" t="n">
        <v>2024</v>
      </c>
      <c r="F56" s="22" t="n">
        <v>13.36</v>
      </c>
      <c r="G56" s="18" t="inlineStr">
        <is>
          <t>%</t>
        </is>
      </c>
      <c r="H56" s="20" t="inlineStr">
        <is>
          <t>% of total enterprise turnover</t>
        </is>
      </c>
      <c r="I56" s="18" t="inlineStr">
        <is>
          <t>u</t>
        </is>
      </c>
      <c r="J56" s="19" t="inlineStr">
        <is>
          <t>ES6</t>
        </is>
      </c>
      <c r="K56" s="18" t="inlineStr">
        <is>
          <t>2026-09-12</t>
        </is>
      </c>
      <c r="L56" s="20" t="inlineStr"/>
    </row>
    <row r="57">
      <c r="A57" s="18" t="n">
        <v>56</v>
      </c>
      <c r="B57" s="19" t="inlineStr">
        <is>
          <t>BG.ECM.ENT.TRN</t>
        </is>
      </c>
      <c r="C57" s="20" t="inlineStr">
        <is>
          <t>E-sales as share of enterprise turnover</t>
        </is>
      </c>
      <c r="D57" s="18" t="inlineStr">
        <is>
          <t>BG</t>
        </is>
      </c>
      <c r="E57" s="18" t="n">
        <v>2024</v>
      </c>
      <c r="F57" s="22" t="n">
        <v>7.63</v>
      </c>
      <c r="G57" s="18" t="inlineStr">
        <is>
          <t>%</t>
        </is>
      </c>
      <c r="H57" s="20" t="inlineStr">
        <is>
          <t>% of total enterprise turnover</t>
        </is>
      </c>
      <c r="I57" s="18" t="inlineStr">
        <is>
          <t>u</t>
        </is>
      </c>
      <c r="J57" s="19" t="inlineStr">
        <is>
          <t>ES6</t>
        </is>
      </c>
      <c r="K57" s="18" t="inlineStr">
        <is>
          <t>2026-09-12</t>
        </is>
      </c>
      <c r="L57" s="20" t="inlineStr"/>
    </row>
    <row r="58">
      <c r="A58" s="13" t="n">
        <v>57</v>
      </c>
      <c r="B58" s="14" t="inlineStr">
        <is>
          <t>DK.ECM.ENT.SHR</t>
        </is>
      </c>
      <c r="C58" s="15" t="inlineStr">
        <is>
          <t>Enterprises making e-sales</t>
        </is>
      </c>
      <c r="D58" s="13" t="inlineStr">
        <is>
          <t>DK</t>
        </is>
      </c>
      <c r="E58" s="13" t="n">
        <v>2024</v>
      </c>
      <c r="F58" s="16" t="n">
        <v>38.78</v>
      </c>
      <c r="G58" s="13" t="inlineStr">
        <is>
          <t>%</t>
        </is>
      </c>
      <c r="H58" s="15" t="inlineStr">
        <is>
          <t>% of enterprises</t>
        </is>
      </c>
      <c r="I58" s="13" t="inlineStr"/>
      <c r="J58" s="14" t="inlineStr">
        <is>
          <t>ES5</t>
        </is>
      </c>
      <c r="K58" s="13" t="inlineStr">
        <is>
          <t>2026-09-12</t>
        </is>
      </c>
      <c r="L58" s="15" t="inlineStr">
        <is>
          <t>2nd in EU after Lithuania.</t>
        </is>
      </c>
    </row>
    <row r="59">
      <c r="A59" s="13" t="n">
        <v>58</v>
      </c>
      <c r="B59" s="14" t="inlineStr">
        <is>
          <t>LT.ECM.ENT.SHR</t>
        </is>
      </c>
      <c r="C59" s="15" t="inlineStr">
        <is>
          <t>Enterprises making e-sales</t>
        </is>
      </c>
      <c r="D59" s="13" t="inlineStr">
        <is>
          <t>LT</t>
        </is>
      </c>
      <c r="E59" s="13" t="n">
        <v>2024</v>
      </c>
      <c r="F59" s="16" t="n">
        <v>43.03</v>
      </c>
      <c r="G59" s="13" t="inlineStr">
        <is>
          <t>%</t>
        </is>
      </c>
      <c r="H59" s="15" t="inlineStr">
        <is>
          <t>% of enterprises</t>
        </is>
      </c>
      <c r="I59" s="13" t="inlineStr"/>
      <c r="J59" s="14" t="inlineStr">
        <is>
          <t>ES5</t>
        </is>
      </c>
      <c r="K59" s="13" t="inlineStr">
        <is>
          <t>2026-09-12</t>
        </is>
      </c>
      <c r="L59" s="15" t="inlineStr">
        <is>
          <t>Highest in EU.</t>
        </is>
      </c>
    </row>
    <row r="60">
      <c r="A60" s="13" t="n">
        <v>59</v>
      </c>
      <c r="B60" s="14" t="inlineStr">
        <is>
          <t>DK.DGP.EXMP</t>
        </is>
      </c>
      <c r="C60" s="15" t="inlineStr">
        <is>
          <t>Citizens formally exempt from Digital Post</t>
        </is>
      </c>
      <c r="D60" s="13" t="inlineStr">
        <is>
          <t>DK</t>
        </is>
      </c>
      <c r="E60" s="13" t="n">
        <v>2025</v>
      </c>
      <c r="F60" s="16" t="n">
        <v>5</v>
      </c>
      <c r="G60" s="13" t="inlineStr">
        <is>
          <t>%</t>
        </is>
      </c>
      <c r="H60" s="15" t="inlineStr">
        <is>
          <t>% of citizens aged 15+ resident in Denmark</t>
        </is>
      </c>
      <c r="I60" s="13" t="inlineStr"/>
      <c r="J60" s="14" t="inlineStr">
        <is>
          <t>DG1</t>
        </is>
      </c>
      <c r="K60" s="13" t="inlineStr">
        <is>
          <t>2026-09-12</t>
        </is>
      </c>
      <c r="L60" s="15" t="inlineStr">
        <is>
          <t>April 2025; approx. 256,000 citizens.</t>
        </is>
      </c>
    </row>
    <row r="61">
      <c r="A61" s="13" t="n">
        <v>60</v>
      </c>
      <c r="B61" s="14" t="inlineStr">
        <is>
          <t>DK.DGP.EXMP</t>
        </is>
      </c>
      <c r="C61" s="15" t="inlineStr">
        <is>
          <t>Citizens formally exempt from Digital Post</t>
        </is>
      </c>
      <c r="D61" s="13" t="inlineStr">
        <is>
          <t>DK</t>
        </is>
      </c>
      <c r="E61" s="13" t="n">
        <v>2026</v>
      </c>
      <c r="F61" s="16" t="n">
        <v>4.7</v>
      </c>
      <c r="G61" s="13" t="inlineStr">
        <is>
          <t>%</t>
        </is>
      </c>
      <c r="H61" s="15" t="inlineStr">
        <is>
          <t>% of citizens aged 15+ resident in Denmark</t>
        </is>
      </c>
      <c r="I61" s="13" t="inlineStr"/>
      <c r="J61" s="14" t="inlineStr">
        <is>
          <t>DG1</t>
        </is>
      </c>
      <c r="K61" s="13" t="inlineStr">
        <is>
          <t>2026-09-12</t>
        </is>
      </c>
      <c r="L61" s="15" t="inlineStr">
        <is>
          <t>Q1 2026; 238,479 citizens. 95.2% enrolled.</t>
        </is>
      </c>
    </row>
    <row r="62">
      <c r="A62" s="18" t="n">
        <v>61</v>
      </c>
      <c r="B62" s="19" t="inlineStr">
        <is>
          <t>DK.DGP.EXMP.7584</t>
        </is>
      </c>
      <c r="C62" s="20" t="inlineStr">
        <is>
          <t>Exemption rate, age 75-84</t>
        </is>
      </c>
      <c r="D62" s="18" t="inlineStr">
        <is>
          <t>DK</t>
        </is>
      </c>
      <c r="E62" s="18" t="n">
        <v>2022</v>
      </c>
      <c r="F62" s="22" t="n">
        <v>20</v>
      </c>
      <c r="G62" s="18" t="inlineStr">
        <is>
          <t>%</t>
        </is>
      </c>
      <c r="H62" s="20" t="inlineStr">
        <is>
          <t>% of age group</t>
        </is>
      </c>
      <c r="I62" s="18" t="inlineStr">
        <is>
          <t>e</t>
        </is>
      </c>
      <c r="J62" s="19" t="inlineStr">
        <is>
          <t>DG1</t>
        </is>
      </c>
      <c r="K62" s="18" t="inlineStr">
        <is>
          <t>2026-09-12</t>
        </is>
      </c>
      <c r="L62" s="20" t="inlineStr">
        <is>
          <t>Source states 'nearly one in five'.</t>
        </is>
      </c>
    </row>
    <row r="63">
      <c r="A63" s="18" t="n">
        <v>62</v>
      </c>
      <c r="B63" s="19" t="inlineStr">
        <is>
          <t>DK.DGP.EXMP.85P</t>
        </is>
      </c>
      <c r="C63" s="20" t="inlineStr">
        <is>
          <t>Exemption rate, age 85+</t>
        </is>
      </c>
      <c r="D63" s="18" t="inlineStr">
        <is>
          <t>DK</t>
        </is>
      </c>
      <c r="E63" s="18" t="n">
        <v>2022</v>
      </c>
      <c r="F63" s="22" t="n">
        <v>33</v>
      </c>
      <c r="G63" s="18" t="inlineStr">
        <is>
          <t>%</t>
        </is>
      </c>
      <c r="H63" s="20" t="inlineStr">
        <is>
          <t>% of age group</t>
        </is>
      </c>
      <c r="I63" s="18" t="inlineStr">
        <is>
          <t>e</t>
        </is>
      </c>
      <c r="J63" s="19" t="inlineStr">
        <is>
          <t>DG1</t>
        </is>
      </c>
      <c r="K63" s="18" t="inlineStr">
        <is>
          <t>2026-09-12</t>
        </is>
      </c>
      <c r="L63" s="20" t="inlineStr">
        <is>
          <t>Source states 'roughly one in three'.</t>
        </is>
      </c>
    </row>
    <row r="64">
      <c r="A64" s="13" t="n">
        <v>63</v>
      </c>
      <c r="B64" s="14" t="inlineStr">
        <is>
          <t>DK.DGX.NOUSE</t>
        </is>
      </c>
      <c r="C64" s="15" t="inlineStr">
        <is>
          <t>Do not use digital public services at all</t>
        </is>
      </c>
      <c r="D64" s="13" t="inlineStr">
        <is>
          <t>DK</t>
        </is>
      </c>
      <c r="E64" s="13" t="n">
        <v>2026</v>
      </c>
      <c r="F64" s="16" t="n">
        <v>6.5</v>
      </c>
      <c r="G64" s="13" t="inlineStr">
        <is>
          <t>%</t>
        </is>
      </c>
      <c r="H64" s="15" t="inlineStr">
        <is>
          <t>% of population</t>
        </is>
      </c>
      <c r="I64" s="13" t="inlineStr"/>
      <c r="J64" s="14" t="inlineStr">
        <is>
          <t>EC1</t>
        </is>
      </c>
      <c r="K64" s="13" t="inlineStr">
        <is>
          <t>2026-09-12</t>
        </is>
      </c>
      <c r="L64" s="15" t="inlineStr">
        <is>
          <t>Agency for Digital Government estimate.</t>
        </is>
      </c>
    </row>
    <row r="65">
      <c r="A65" s="13" t="n">
        <v>64</v>
      </c>
      <c r="B65" s="14" t="inlineStr">
        <is>
          <t>DK.DGX.DIFF</t>
        </is>
      </c>
      <c r="C65" s="15" t="inlineStr">
        <is>
          <t>Face difficulties using digital public services</t>
        </is>
      </c>
      <c r="D65" s="13" t="inlineStr">
        <is>
          <t>DK</t>
        </is>
      </c>
      <c r="E65" s="13" t="n">
        <v>2026</v>
      </c>
      <c r="F65" s="16" t="n">
        <v>16.5</v>
      </c>
      <c r="G65" s="13" t="inlineStr">
        <is>
          <t>%</t>
        </is>
      </c>
      <c r="H65" s="15" t="inlineStr">
        <is>
          <t>% of population</t>
        </is>
      </c>
      <c r="I65" s="13" t="inlineStr"/>
      <c r="J65" s="14" t="inlineStr">
        <is>
          <t>EC1</t>
        </is>
      </c>
      <c r="K65" s="13" t="inlineStr">
        <is>
          <t>2026-09-12</t>
        </is>
      </c>
      <c r="L65" s="15" t="inlineStr">
        <is>
          <t>Agency for Digital Government estimate.</t>
        </is>
      </c>
    </row>
    <row r="66">
      <c r="A66" s="18" t="n">
        <v>65</v>
      </c>
      <c r="B66" s="19" t="inlineStr">
        <is>
          <t>DK.DGX.DISADV.LO</t>
        </is>
      </c>
      <c r="C66" s="20" t="inlineStr">
        <is>
          <t>'Digitally disadvantaged' - lower bound</t>
        </is>
      </c>
      <c r="D66" s="18" t="inlineStr">
        <is>
          <t>DK</t>
        </is>
      </c>
      <c r="E66" s="18" t="n">
        <v>2025</v>
      </c>
      <c r="F66" s="22" t="n">
        <v>17</v>
      </c>
      <c r="G66" s="18" t="inlineStr">
        <is>
          <t>%</t>
        </is>
      </c>
      <c r="H66" s="20" t="inlineStr">
        <is>
          <t>% of adult population</t>
        </is>
      </c>
      <c r="I66" s="18" t="inlineStr">
        <is>
          <t>e</t>
        </is>
      </c>
      <c r="J66" s="19" t="inlineStr">
        <is>
          <t>DG2</t>
        </is>
      </c>
      <c r="K66" s="18" t="inlineStr">
        <is>
          <t>2026-09-12</t>
        </is>
      </c>
      <c r="L66" s="20" t="inlineStr">
        <is>
          <t>Published as a 17-22% range.</t>
        </is>
      </c>
    </row>
    <row r="67">
      <c r="A67" s="18" t="n">
        <v>66</v>
      </c>
      <c r="B67" s="19" t="inlineStr">
        <is>
          <t>DK.DGX.DISADV.HI</t>
        </is>
      </c>
      <c r="C67" s="20" t="inlineStr">
        <is>
          <t>'Digitally disadvantaged' - upper bound</t>
        </is>
      </c>
      <c r="D67" s="18" t="inlineStr">
        <is>
          <t>DK</t>
        </is>
      </c>
      <c r="E67" s="18" t="n">
        <v>2025</v>
      </c>
      <c r="F67" s="22" t="n">
        <v>22</v>
      </c>
      <c r="G67" s="18" t="inlineStr">
        <is>
          <t>%</t>
        </is>
      </c>
      <c r="H67" s="20" t="inlineStr">
        <is>
          <t>% of adult population</t>
        </is>
      </c>
      <c r="I67" s="18" t="inlineStr">
        <is>
          <t>e</t>
        </is>
      </c>
      <c r="J67" s="19" t="inlineStr">
        <is>
          <t>DG2</t>
        </is>
      </c>
      <c r="K67" s="18" t="inlineStr">
        <is>
          <t>2026-09-12</t>
        </is>
      </c>
      <c r="L67" s="20" t="inlineStr">
        <is>
          <t>Published as a 17-22% range.</t>
        </is>
      </c>
    </row>
    <row r="68">
      <c r="A68" s="18" t="n">
        <v>67</v>
      </c>
      <c r="B68" s="19" t="inlineStr">
        <is>
          <t>DK.DGX.JUST</t>
        </is>
      </c>
      <c r="C68" s="20" t="inlineStr">
        <is>
          <t>'Digitally disadvantaged' - Justitia estimate</t>
        </is>
      </c>
      <c r="D68" s="18" t="inlineStr">
        <is>
          <t>DK</t>
        </is>
      </c>
      <c r="E68" s="18" t="n">
        <v>2022</v>
      </c>
      <c r="F68" s="22" t="n">
        <v>25</v>
      </c>
      <c r="G68" s="18" t="inlineStr">
        <is>
          <t>%</t>
        </is>
      </c>
      <c r="H68" s="20" t="inlineStr">
        <is>
          <t>% of adult population</t>
        </is>
      </c>
      <c r="I68" s="18" t="inlineStr">
        <is>
          <t>e</t>
        </is>
      </c>
      <c r="J68" s="19" t="inlineStr">
        <is>
          <t>JU1</t>
        </is>
      </c>
      <c r="K68" s="18" t="inlineStr">
        <is>
          <t>2026-09-12</t>
        </is>
      </c>
      <c r="L68" s="20" t="inlineStr">
        <is>
          <t>Report states 'up to a quarter of the adult population'.</t>
        </is>
      </c>
    </row>
    <row r="69">
      <c r="A69" s="13" t="n">
        <v>68</v>
      </c>
      <c r="B69" s="14" t="inlineStr">
        <is>
          <t>DK.TRU.DPS</t>
        </is>
      </c>
      <c r="C69" s="15" t="inlineStr">
        <is>
          <t>Trust in digital public solutions</t>
        </is>
      </c>
      <c r="D69" s="13" t="inlineStr">
        <is>
          <t>DK</t>
        </is>
      </c>
      <c r="E69" s="13" t="n">
        <v>2024</v>
      </c>
      <c r="F69" s="16" t="n">
        <v>82</v>
      </c>
      <c r="G69" s="13" t="inlineStr">
        <is>
          <t>%</t>
        </is>
      </c>
      <c r="H69" s="15" t="inlineStr">
        <is>
          <t>% of population</t>
        </is>
      </c>
      <c r="I69" s="13" t="inlineStr"/>
      <c r="J69" s="14" t="inlineStr">
        <is>
          <t>EC1</t>
        </is>
      </c>
      <c r="K69" s="13" t="inlineStr">
        <is>
          <t>2026-09-12</t>
        </is>
      </c>
      <c r="L69" s="15" t="inlineStr"/>
    </row>
    <row r="70">
      <c r="A70" s="13" t="n">
        <v>69</v>
      </c>
      <c r="B70" s="14" t="inlineStr">
        <is>
          <t>DK.TRU.DPS</t>
        </is>
      </c>
      <c r="C70" s="15" t="inlineStr">
        <is>
          <t>Trust in digital public solutions</t>
        </is>
      </c>
      <c r="D70" s="13" t="inlineStr">
        <is>
          <t>DK</t>
        </is>
      </c>
      <c r="E70" s="13" t="n">
        <v>2025</v>
      </c>
      <c r="F70" s="16" t="n">
        <v>84</v>
      </c>
      <c r="G70" s="13" t="inlineStr">
        <is>
          <t>%</t>
        </is>
      </c>
      <c r="H70" s="15" t="inlineStr">
        <is>
          <t>% of population</t>
        </is>
      </c>
      <c r="I70" s="13" t="inlineStr"/>
      <c r="J70" s="14" t="inlineStr">
        <is>
          <t>EC1</t>
        </is>
      </c>
      <c r="K70" s="13" t="inlineStr">
        <is>
          <t>2026-09-12</t>
        </is>
      </c>
      <c r="L70" s="15" t="inlineStr">
        <is>
          <t>Record high.</t>
        </is>
      </c>
    </row>
    <row r="71">
      <c r="A71" s="13" t="n">
        <v>70</v>
      </c>
      <c r="B71" s="14" t="inlineStr">
        <is>
          <t>DK.TRU.DGP.SEC</t>
        </is>
      </c>
      <c r="C71" s="15" t="inlineStr">
        <is>
          <t>Perceived security of Digital Post</t>
        </is>
      </c>
      <c r="D71" s="13" t="inlineStr">
        <is>
          <t>DK</t>
        </is>
      </c>
      <c r="E71" s="13" t="n">
        <v>2017</v>
      </c>
      <c r="F71" s="16" t="n">
        <v>77</v>
      </c>
      <c r="G71" s="13" t="inlineStr">
        <is>
          <t>%</t>
        </is>
      </c>
      <c r="H71" s="15" t="inlineStr">
        <is>
          <t>% of population</t>
        </is>
      </c>
      <c r="I71" s="13" t="inlineStr"/>
      <c r="J71" s="14" t="inlineStr">
        <is>
          <t>EC1</t>
        </is>
      </c>
      <c r="K71" s="13" t="inlineStr">
        <is>
          <t>2026-09-12</t>
        </is>
      </c>
      <c r="L71" s="15" t="inlineStr"/>
    </row>
    <row r="72">
      <c r="A72" s="13" t="n">
        <v>71</v>
      </c>
      <c r="B72" s="14" t="inlineStr">
        <is>
          <t>DK.TRU.DGP.SEC</t>
        </is>
      </c>
      <c r="C72" s="15" t="inlineStr">
        <is>
          <t>Perceived security of Digital Post</t>
        </is>
      </c>
      <c r="D72" s="13" t="inlineStr">
        <is>
          <t>DK</t>
        </is>
      </c>
      <c r="E72" s="13" t="n">
        <v>2025</v>
      </c>
      <c r="F72" s="16" t="n">
        <v>89</v>
      </c>
      <c r="G72" s="13" t="inlineStr">
        <is>
          <t>%</t>
        </is>
      </c>
      <c r="H72" s="15" t="inlineStr">
        <is>
          <t>% of population</t>
        </is>
      </c>
      <c r="I72" s="13" t="inlineStr"/>
      <c r="J72" s="14" t="inlineStr">
        <is>
          <t>EC1</t>
        </is>
      </c>
      <c r="K72" s="13" t="inlineStr">
        <is>
          <t>2026-09-12</t>
        </is>
      </c>
      <c r="L72" s="15" t="inlineStr"/>
    </row>
    <row r="73">
      <c r="A73" s="13" t="n">
        <v>72</v>
      </c>
      <c r="B73" s="14" t="inlineStr">
        <is>
          <t>DK.SKL.1624</t>
        </is>
      </c>
      <c r="C73" s="15" t="inlineStr">
        <is>
          <t>At least basic digital skills, age 16-24</t>
        </is>
      </c>
      <c r="D73" s="13" t="inlineStr">
        <is>
          <t>DK</t>
        </is>
      </c>
      <c r="E73" s="13" t="n">
        <v>2025</v>
      </c>
      <c r="F73" s="16" t="n">
        <v>92.06</v>
      </c>
      <c r="G73" s="13" t="inlineStr">
        <is>
          <t>%</t>
        </is>
      </c>
      <c r="H73" s="15" t="inlineStr">
        <is>
          <t>% of age group</t>
        </is>
      </c>
      <c r="I73" s="13" t="inlineStr"/>
      <c r="J73" s="14" t="inlineStr">
        <is>
          <t>EC1</t>
        </is>
      </c>
      <c r="K73" s="13" t="inlineStr">
        <is>
          <t>2026-09-12</t>
        </is>
      </c>
      <c r="L73" s="15" t="inlineStr">
        <is>
          <t>EU average 74.55%.</t>
        </is>
      </c>
    </row>
    <row r="74">
      <c r="A74" s="13" t="n">
        <v>73</v>
      </c>
      <c r="B74" s="14" t="inlineStr">
        <is>
          <t>DK.SKL.2554</t>
        </is>
      </c>
      <c r="C74" s="15" t="inlineStr">
        <is>
          <t>At least basic digital skills, age 25-54</t>
        </is>
      </c>
      <c r="D74" s="13" t="inlineStr">
        <is>
          <t>DK</t>
        </is>
      </c>
      <c r="E74" s="13" t="n">
        <v>2025</v>
      </c>
      <c r="F74" s="16" t="n">
        <v>86.89</v>
      </c>
      <c r="G74" s="13" t="inlineStr">
        <is>
          <t>%</t>
        </is>
      </c>
      <c r="H74" s="15" t="inlineStr">
        <is>
          <t>% of age group</t>
        </is>
      </c>
      <c r="I74" s="13" t="inlineStr"/>
      <c r="J74" s="14" t="inlineStr">
        <is>
          <t>EC1</t>
        </is>
      </c>
      <c r="K74" s="13" t="inlineStr">
        <is>
          <t>2026-09-12</t>
        </is>
      </c>
      <c r="L74" s="15" t="inlineStr">
        <is>
          <t>EU average 68.57%.</t>
        </is>
      </c>
    </row>
    <row r="75">
      <c r="A75" s="13" t="n">
        <v>74</v>
      </c>
      <c r="B75" s="14" t="inlineStr">
        <is>
          <t>DK.SKL.5574</t>
        </is>
      </c>
      <c r="C75" s="15" t="inlineStr">
        <is>
          <t>At least basic digital skills, age 55-74</t>
        </is>
      </c>
      <c r="D75" s="13" t="inlineStr">
        <is>
          <t>DK</t>
        </is>
      </c>
      <c r="E75" s="13" t="n">
        <v>2025</v>
      </c>
      <c r="F75" s="16" t="n">
        <v>67.81</v>
      </c>
      <c r="G75" s="13" t="inlineStr">
        <is>
          <t>%</t>
        </is>
      </c>
      <c r="H75" s="15" t="inlineStr">
        <is>
          <t>% of age group</t>
        </is>
      </c>
      <c r="I75" s="13" t="inlineStr"/>
      <c r="J75" s="14" t="inlineStr">
        <is>
          <t>EC1</t>
        </is>
      </c>
      <c r="K75" s="13" t="inlineStr">
        <is>
          <t>2026-09-12</t>
        </is>
      </c>
      <c r="L75" s="15" t="inlineStr">
        <is>
          <t>EU average 42.60%.</t>
        </is>
      </c>
    </row>
    <row r="76">
      <c r="A76" s="13" t="n">
        <v>75</v>
      </c>
      <c r="B76" s="14" t="inlineStr">
        <is>
          <t>DK.ENT.DII</t>
        </is>
      </c>
      <c r="C76" s="15" t="inlineStr">
        <is>
          <t>SMEs with at least basic digital intensity</t>
        </is>
      </c>
      <c r="D76" s="13" t="inlineStr">
        <is>
          <t>DK</t>
        </is>
      </c>
      <c r="E76" s="13" t="n">
        <v>2025</v>
      </c>
      <c r="F76" s="16" t="n">
        <v>92.45</v>
      </c>
      <c r="G76" s="13" t="inlineStr">
        <is>
          <t>%</t>
        </is>
      </c>
      <c r="H76" s="15" t="inlineStr">
        <is>
          <t>% of SMEs</t>
        </is>
      </c>
      <c r="I76" s="13" t="inlineStr"/>
      <c r="J76" s="14" t="inlineStr">
        <is>
          <t>EC1</t>
        </is>
      </c>
      <c r="K76" s="13" t="inlineStr">
        <is>
          <t>2026-09-12</t>
        </is>
      </c>
      <c r="L76" s="15" t="inlineStr">
        <is>
          <t>EU average 71.39%.</t>
        </is>
      </c>
    </row>
    <row r="77">
      <c r="A77" s="13" t="n">
        <v>76</v>
      </c>
      <c r="B77" s="14" t="inlineStr">
        <is>
          <t>EU.ENT.DII</t>
        </is>
      </c>
      <c r="C77" s="15" t="inlineStr">
        <is>
          <t>SMEs with at least basic digital intensity</t>
        </is>
      </c>
      <c r="D77" s="13" t="inlineStr">
        <is>
          <t>EU27</t>
        </is>
      </c>
      <c r="E77" s="13" t="n">
        <v>2025</v>
      </c>
      <c r="F77" s="16" t="n">
        <v>71.39</v>
      </c>
      <c r="G77" s="13" t="inlineStr">
        <is>
          <t>%</t>
        </is>
      </c>
      <c r="H77" s="15" t="inlineStr">
        <is>
          <t>% of SMEs</t>
        </is>
      </c>
      <c r="I77" s="13" t="inlineStr"/>
      <c r="J77" s="14" t="inlineStr">
        <is>
          <t>EC1</t>
        </is>
      </c>
      <c r="K77" s="13" t="inlineStr">
        <is>
          <t>2026-09-12</t>
        </is>
      </c>
      <c r="L77" s="15" t="inlineStr"/>
    </row>
    <row r="78">
      <c r="A78" s="13" t="n">
        <v>77</v>
      </c>
      <c r="B78" s="14" t="inlineStr">
        <is>
          <t>DK.ENT.AI</t>
        </is>
      </c>
      <c r="C78" s="15" t="inlineStr">
        <is>
          <t>Enterprises adopting AI</t>
        </is>
      </c>
      <c r="D78" s="13" t="inlineStr">
        <is>
          <t>DK</t>
        </is>
      </c>
      <c r="E78" s="13" t="n">
        <v>2025</v>
      </c>
      <c r="F78" s="16" t="n">
        <v>42.03</v>
      </c>
      <c r="G78" s="13" t="inlineStr">
        <is>
          <t>%</t>
        </is>
      </c>
      <c r="H78" s="15" t="inlineStr">
        <is>
          <t>% of enterprises</t>
        </is>
      </c>
      <c r="I78" s="13" t="inlineStr"/>
      <c r="J78" s="14" t="inlineStr">
        <is>
          <t>EC1</t>
        </is>
      </c>
      <c r="K78" s="13" t="inlineStr">
        <is>
          <t>2026-09-12</t>
        </is>
      </c>
      <c r="L78" s="15" t="inlineStr">
        <is>
          <t>EU average 19.95%.</t>
        </is>
      </c>
    </row>
    <row r="79">
      <c r="A79" s="13" t="n">
        <v>78</v>
      </c>
      <c r="B79" s="14" t="inlineStr">
        <is>
          <t>DK.ENT.AI.LRG</t>
        </is>
      </c>
      <c r="C79" s="15" t="inlineStr">
        <is>
          <t>Large enterprises adopting AI</t>
        </is>
      </c>
      <c r="D79" s="13" t="inlineStr">
        <is>
          <t>DK</t>
        </is>
      </c>
      <c r="E79" s="13" t="n">
        <v>2025</v>
      </c>
      <c r="F79" s="16" t="n">
        <v>74.52</v>
      </c>
      <c r="G79" s="13" t="inlineStr">
        <is>
          <t>%</t>
        </is>
      </c>
      <c r="H79" s="15" t="inlineStr">
        <is>
          <t>% of large enterprises (250+)</t>
        </is>
      </c>
      <c r="I79" s="13" t="inlineStr"/>
      <c r="J79" s="14" t="inlineStr">
        <is>
          <t>EC1</t>
        </is>
      </c>
      <c r="K79" s="13" t="inlineStr">
        <is>
          <t>2026-09-12</t>
        </is>
      </c>
      <c r="L79" s="15" t="inlineStr"/>
    </row>
    <row r="80">
      <c r="A80" s="13" t="n">
        <v>79</v>
      </c>
      <c r="B80" s="14" t="inlineStr">
        <is>
          <t>DK.ENT.AI.SME</t>
        </is>
      </c>
      <c r="C80" s="15" t="inlineStr">
        <is>
          <t>SMEs adopting AI</t>
        </is>
      </c>
      <c r="D80" s="13" t="inlineStr">
        <is>
          <t>DK</t>
        </is>
      </c>
      <c r="E80" s="13" t="n">
        <v>2025</v>
      </c>
      <c r="F80" s="16" t="n">
        <v>40.99</v>
      </c>
      <c r="G80" s="13" t="inlineStr">
        <is>
          <t>%</t>
        </is>
      </c>
      <c r="H80" s="15" t="inlineStr">
        <is>
          <t>% of SMEs (10-249)</t>
        </is>
      </c>
      <c r="I80" s="13" t="inlineStr"/>
      <c r="J80" s="14" t="inlineStr">
        <is>
          <t>EC1</t>
        </is>
      </c>
      <c r="K80" s="13" t="inlineStr">
        <is>
          <t>2026-09-12</t>
        </is>
      </c>
      <c r="L80" s="15" t="inlineStr"/>
    </row>
    <row r="81">
      <c r="A81" s="13" t="n">
        <v>80</v>
      </c>
      <c r="B81" s="14" t="inlineStr">
        <is>
          <t>DK.GOV.DPS.CIT</t>
        </is>
      </c>
      <c r="C81" s="15" t="inlineStr">
        <is>
          <t>Digital public services for citizens (score)</t>
        </is>
      </c>
      <c r="D81" s="13" t="inlineStr">
        <is>
          <t>DK</t>
        </is>
      </c>
      <c r="E81" s="13" t="n">
        <v>2025</v>
      </c>
      <c r="F81" s="16" t="n">
        <v>82.2</v>
      </c>
      <c r="G81" s="13" t="inlineStr">
        <is>
          <t>score 0-100</t>
        </is>
      </c>
      <c r="H81" s="15" t="inlineStr">
        <is>
          <t>eGovernment Benchmark score</t>
        </is>
      </c>
      <c r="I81" s="13" t="inlineStr"/>
      <c r="J81" s="14" t="inlineStr">
        <is>
          <t>EC1</t>
        </is>
      </c>
      <c r="K81" s="13" t="inlineStr">
        <is>
          <t>2026-09-12</t>
        </is>
      </c>
      <c r="L81" s="15" t="inlineStr">
        <is>
          <t>BELOW the EU average of 84.64.</t>
        </is>
      </c>
    </row>
    <row r="82">
      <c r="A82" s="13" t="n">
        <v>81</v>
      </c>
      <c r="B82" s="14" t="inlineStr">
        <is>
          <t>EU.GOV.DPS.CIT</t>
        </is>
      </c>
      <c r="C82" s="15" t="inlineStr">
        <is>
          <t>Digital public services for citizens (score)</t>
        </is>
      </c>
      <c r="D82" s="13" t="inlineStr">
        <is>
          <t>EU27</t>
        </is>
      </c>
      <c r="E82" s="13" t="n">
        <v>2025</v>
      </c>
      <c r="F82" s="16" t="n">
        <v>84.64</v>
      </c>
      <c r="G82" s="13" t="inlineStr">
        <is>
          <t>score 0-100</t>
        </is>
      </c>
      <c r="H82" s="15" t="inlineStr">
        <is>
          <t>eGovernment Benchmark score</t>
        </is>
      </c>
      <c r="I82" s="13" t="inlineStr"/>
      <c r="J82" s="14" t="inlineStr">
        <is>
          <t>EC1</t>
        </is>
      </c>
      <c r="K82" s="13" t="inlineStr">
        <is>
          <t>2026-09-12</t>
        </is>
      </c>
      <c r="L82" s="15" t="inlineStr"/>
    </row>
    <row r="83">
      <c r="A83" s="13" t="n">
        <v>82</v>
      </c>
      <c r="B83" s="14" t="inlineStr">
        <is>
          <t>DK.GOV.DPS.XB</t>
        </is>
      </c>
      <c r="C83" s="15" t="inlineStr">
        <is>
          <t>Cross-border digital public services, citizens (score)</t>
        </is>
      </c>
      <c r="D83" s="13" t="inlineStr">
        <is>
          <t>DK</t>
        </is>
      </c>
      <c r="E83" s="13" t="n">
        <v>2025</v>
      </c>
      <c r="F83" s="16" t="n">
        <v>64.40000000000001</v>
      </c>
      <c r="G83" s="13" t="inlineStr">
        <is>
          <t>score 0-100</t>
        </is>
      </c>
      <c r="H83" s="15" t="inlineStr">
        <is>
          <t>eGovernment Benchmark score</t>
        </is>
      </c>
      <c r="I83" s="13" t="inlineStr"/>
      <c r="J83" s="14" t="inlineStr">
        <is>
          <t>EC1</t>
        </is>
      </c>
      <c r="K83" s="13" t="inlineStr">
        <is>
          <t>2026-09-12</t>
        </is>
      </c>
      <c r="L83" s="15" t="inlineStr">
        <is>
          <t>EU average 75.28.</t>
        </is>
      </c>
    </row>
    <row r="84">
      <c r="A84" s="13" t="n">
        <v>83</v>
      </c>
      <c r="B84" s="14" t="inlineStr">
        <is>
          <t>DK.ENV.WEEE</t>
        </is>
      </c>
      <c r="C84" s="15" t="inlineStr">
        <is>
          <t>ICT waste recycled or prepared for reuse</t>
        </is>
      </c>
      <c r="D84" s="13" t="inlineStr">
        <is>
          <t>DK</t>
        </is>
      </c>
      <c r="E84" s="13" t="n">
        <v>2023</v>
      </c>
      <c r="F84" s="16" t="n">
        <v>15.37</v>
      </c>
      <c r="G84" s="13" t="inlineStr">
        <is>
          <t>%</t>
        </is>
      </c>
      <c r="H84" s="15" t="inlineStr">
        <is>
          <t>% of ICT-related WEEE collected</t>
        </is>
      </c>
      <c r="I84" s="13" t="inlineStr"/>
      <c r="J84" s="14" t="inlineStr">
        <is>
          <t>EC1</t>
        </is>
      </c>
      <c r="K84" s="13" t="inlineStr">
        <is>
          <t>2026-09-12</t>
        </is>
      </c>
      <c r="L84" s="15" t="inlineStr">
        <is>
          <t>Among the lowest in the EU; EU average 80.23%.</t>
        </is>
      </c>
    </row>
    <row r="85">
      <c r="A85" s="13" t="n">
        <v>84</v>
      </c>
      <c r="B85" s="14" t="inlineStr">
        <is>
          <t>EU.ENV.WEEE</t>
        </is>
      </c>
      <c r="C85" s="15" t="inlineStr">
        <is>
          <t>ICT waste recycled or prepared for reuse</t>
        </is>
      </c>
      <c r="D85" s="13" t="inlineStr">
        <is>
          <t>EU27</t>
        </is>
      </c>
      <c r="E85" s="13" t="n">
        <v>2023</v>
      </c>
      <c r="F85" s="16" t="n">
        <v>80.23</v>
      </c>
      <c r="G85" s="13" t="inlineStr">
        <is>
          <t>%</t>
        </is>
      </c>
      <c r="H85" s="15" t="inlineStr">
        <is>
          <t>% of ICT-related WEEE collected</t>
        </is>
      </c>
      <c r="I85" s="13" t="inlineStr"/>
      <c r="J85" s="14" t="inlineStr">
        <is>
          <t>EC1</t>
        </is>
      </c>
      <c r="K85" s="13" t="inlineStr">
        <is>
          <t>2026-09-12</t>
        </is>
      </c>
      <c r="L85" s="15" t="inlineStr"/>
    </row>
    <row r="86">
      <c r="A86" s="18" t="n">
        <v>85</v>
      </c>
      <c r="B86" s="19" t="inlineStr">
        <is>
          <t>DK.SME.SMVD.PROJ</t>
        </is>
      </c>
      <c r="C86" s="20" t="inlineStr">
        <is>
          <t>SMV:Digital projects supported since 2018</t>
        </is>
      </c>
      <c r="D86" s="18" t="inlineStr">
        <is>
          <t>DK</t>
        </is>
      </c>
      <c r="E86" s="18" t="n">
        <v>2025</v>
      </c>
      <c r="F86" s="21" t="n">
        <v>7000</v>
      </c>
      <c r="G86" s="18" t="inlineStr">
        <is>
          <t>count</t>
        </is>
      </c>
      <c r="H86" s="20" t="inlineStr">
        <is>
          <t>digitalisation projects</t>
        </is>
      </c>
      <c r="I86" s="18" t="inlineStr">
        <is>
          <t>e</t>
        </is>
      </c>
      <c r="J86" s="19" t="inlineStr">
        <is>
          <t>DG3</t>
        </is>
      </c>
      <c r="K86" s="18" t="inlineStr">
        <is>
          <t>2026-09-12</t>
        </is>
      </c>
      <c r="L86" s="20" t="inlineStr">
        <is>
          <t>Source states 'knap 7.000' (just under 7,000).</t>
        </is>
      </c>
    </row>
    <row r="87">
      <c r="A87" s="13" t="n">
        <v>86</v>
      </c>
      <c r="B87" s="14" t="inlineStr">
        <is>
          <t>DK.SME.SMVD.INV</t>
        </is>
      </c>
      <c r="C87" s="15" t="inlineStr">
        <is>
          <t>Participants who invested further during the project</t>
        </is>
      </c>
      <c r="D87" s="13" t="inlineStr">
        <is>
          <t>DK</t>
        </is>
      </c>
      <c r="E87" s="13" t="n">
        <v>2025</v>
      </c>
      <c r="F87" s="16" t="n">
        <v>65</v>
      </c>
      <c r="G87" s="13" t="inlineStr">
        <is>
          <t>%</t>
        </is>
      </c>
      <c r="H87" s="15" t="inlineStr">
        <is>
          <t>% of participating enterprises</t>
        </is>
      </c>
      <c r="I87" s="13" t="inlineStr"/>
      <c r="J87" s="14" t="inlineStr">
        <is>
          <t>DG3</t>
        </is>
      </c>
      <c r="K87" s="13" t="inlineStr">
        <is>
          <t>2026-09-12</t>
        </is>
      </c>
      <c r="L87" s="15" t="inlineStr"/>
    </row>
    <row r="88">
      <c r="A88" s="13" t="n">
        <v>87</v>
      </c>
      <c r="B88" s="14" t="inlineStr">
        <is>
          <t>DK.SME.SMVD.NOINV</t>
        </is>
      </c>
      <c r="C88" s="15" t="inlineStr">
        <is>
          <t>Participants with no further investment plans</t>
        </is>
      </c>
      <c r="D88" s="13" t="inlineStr">
        <is>
          <t>DK</t>
        </is>
      </c>
      <c r="E88" s="13" t="n">
        <v>2025</v>
      </c>
      <c r="F88" s="16" t="n">
        <v>2</v>
      </c>
      <c r="G88" s="13" t="inlineStr">
        <is>
          <t>%</t>
        </is>
      </c>
      <c r="H88" s="15" t="inlineStr">
        <is>
          <t>% of participating enterprises</t>
        </is>
      </c>
      <c r="I88" s="13" t="inlineStr"/>
      <c r="J88" s="14" t="inlineStr">
        <is>
          <t>DG3</t>
        </is>
      </c>
      <c r="K88" s="13" t="inlineStr">
        <is>
          <t>2026-09-12</t>
        </is>
      </c>
      <c r="L88" s="15" t="inlineStr"/>
    </row>
    <row r="89">
      <c r="A89" s="13" t="n">
        <v>88</v>
      </c>
      <c r="B89" s="14" t="inlineStr">
        <is>
          <t>DK.POP.TOT</t>
        </is>
      </c>
      <c r="C89" s="15" t="inlineStr">
        <is>
          <t>Resident population</t>
        </is>
      </c>
      <c r="D89" s="13" t="inlineStr">
        <is>
          <t>DK</t>
        </is>
      </c>
      <c r="E89" s="13" t="n">
        <v>2026</v>
      </c>
      <c r="F89" s="17" t="n">
        <v>6025603</v>
      </c>
      <c r="G89" s="13" t="inlineStr">
        <is>
          <t>count</t>
        </is>
      </c>
      <c r="H89" s="15" t="inlineStr">
        <is>
          <t>persons resident in Denmark</t>
        </is>
      </c>
      <c r="I89" s="13" t="inlineStr"/>
      <c r="J89" s="14" t="inlineStr">
        <is>
          <t>DST2</t>
        </is>
      </c>
      <c r="K89" s="13" t="inlineStr">
        <is>
          <t>2026-09-12</t>
        </is>
      </c>
      <c r="L89" s="15" t="inlineStr">
        <is>
          <t>As at 1 January 2026.</t>
        </is>
      </c>
    </row>
    <row r="90">
      <c r="A90" s="18" t="n">
        <v>89</v>
      </c>
      <c r="B90" s="19" t="inlineStr">
        <is>
          <t>DK.DGP.EXMP.N</t>
        </is>
      </c>
      <c r="C90" s="20" t="inlineStr">
        <is>
          <t>Citizens formally exempt from Digital Post</t>
        </is>
      </c>
      <c r="D90" s="18" t="inlineStr">
        <is>
          <t>DK</t>
        </is>
      </c>
      <c r="E90" s="18" t="n">
        <v>2025</v>
      </c>
      <c r="F90" s="21" t="n">
        <v>256000</v>
      </c>
      <c r="G90" s="18" t="inlineStr">
        <is>
          <t>count</t>
        </is>
      </c>
      <c r="H90" s="20" t="inlineStr">
        <is>
          <t>citizens aged 15+ resident in Denmark</t>
        </is>
      </c>
      <c r="I90" s="18" t="inlineStr">
        <is>
          <t>e</t>
        </is>
      </c>
      <c r="J90" s="19" t="inlineStr">
        <is>
          <t>DG1</t>
        </is>
      </c>
      <c r="K90" s="18" t="inlineStr">
        <is>
          <t>2026-09-12</t>
        </is>
      </c>
      <c r="L90" s="20" t="inlineStr">
        <is>
          <t>April 2025; source states approx. 256,000.</t>
        </is>
      </c>
    </row>
    <row r="91">
      <c r="A91" s="13" t="n">
        <v>90</v>
      </c>
      <c r="B91" s="14" t="inlineStr">
        <is>
          <t>DK.DGP.EXMP.N</t>
        </is>
      </c>
      <c r="C91" s="15" t="inlineStr">
        <is>
          <t>Citizens formally exempt from Digital Post</t>
        </is>
      </c>
      <c r="D91" s="13" t="inlineStr">
        <is>
          <t>DK</t>
        </is>
      </c>
      <c r="E91" s="13" t="n">
        <v>2026</v>
      </c>
      <c r="F91" s="17" t="n">
        <v>238479</v>
      </c>
      <c r="G91" s="13" t="inlineStr">
        <is>
          <t>count</t>
        </is>
      </c>
      <c r="H91" s="15" t="inlineStr">
        <is>
          <t>citizens aged 15+ resident in Denmark</t>
        </is>
      </c>
      <c r="I91" s="13" t="inlineStr"/>
      <c r="J91" s="14" t="inlineStr">
        <is>
          <t>DG1</t>
        </is>
      </c>
      <c r="K91" s="13" t="inlineStr">
        <is>
          <t>2026-09-12</t>
        </is>
      </c>
      <c r="L91" s="15" t="inlineStr">
        <is>
          <t>Q1 2026. Paired with the 4.7% rate, implies a 15+ base of about 5.07m.</t>
        </is>
      </c>
    </row>
    <row r="92">
      <c r="A92" s="18" t="n">
        <v>91</v>
      </c>
      <c r="B92" s="19" t="inlineStr">
        <is>
          <t>DK.GOV.DGP.SAVE.PLAN</t>
        </is>
      </c>
      <c r="C92" s="20" t="inlineStr">
        <is>
          <t>Digital Post: projected annual public saving</t>
        </is>
      </c>
      <c r="D92" s="18" t="inlineStr">
        <is>
          <t>DK</t>
        </is>
      </c>
      <c r="E92" s="18" t="n">
        <v>2016</v>
      </c>
      <c r="F92" s="22" t="n">
        <v>1000</v>
      </c>
      <c r="G92" s="18" t="inlineStr">
        <is>
          <t>million DKK per year</t>
        </is>
      </c>
      <c r="H92" s="20" t="inlineStr">
        <is>
          <t>projected annual saving, whole public sector</t>
        </is>
      </c>
      <c r="I92" s="18" t="inlineStr">
        <is>
          <t>e</t>
        </is>
      </c>
      <c r="J92" s="19" t="inlineStr">
        <is>
          <t>RR1</t>
        </is>
      </c>
      <c r="K92" s="18" t="inlineStr">
        <is>
          <t>2026-09-12</t>
        </is>
      </c>
      <c r="L92" s="20" t="inlineStr">
        <is>
          <t>Ministry of Finance business case; Rigsrevisionen reports it as 'approx. 1bn'.</t>
        </is>
      </c>
    </row>
    <row r="93">
      <c r="A93" s="18" t="n">
        <v>92</v>
      </c>
      <c r="B93" s="19" t="inlineStr">
        <is>
          <t>DK.GOV.DGP.SAVE.VERIF</t>
        </is>
      </c>
      <c r="C93" s="20" t="inlineStr">
        <is>
          <t>Digital Post: annual saving verifiable by audit</t>
        </is>
      </c>
      <c r="D93" s="18" t="inlineStr">
        <is>
          <t>DK</t>
        </is>
      </c>
      <c r="E93" s="18" t="n">
        <v>2016</v>
      </c>
      <c r="F93" s="22" t="n">
        <v>450</v>
      </c>
      <c r="G93" s="18" t="inlineStr">
        <is>
          <t>million DKK per year</t>
        </is>
      </c>
      <c r="H93" s="20" t="inlineStr">
        <is>
          <t>verified annual saving, whole public sector</t>
        </is>
      </c>
      <c r="I93" s="18" t="inlineStr">
        <is>
          <t>e</t>
        </is>
      </c>
      <c r="J93" s="19" t="inlineStr">
        <is>
          <t>RR1</t>
        </is>
      </c>
      <c r="K93" s="18" t="inlineStr">
        <is>
          <t>2026-09-12</t>
        </is>
      </c>
      <c r="L93" s="20" t="inlineStr">
        <is>
          <t>Postage, paper and envelopes only. The wage and overhead component was never verified: the cross-government study was abandoned after KL declined to take part.</t>
        </is>
      </c>
    </row>
  </sheetData>
  <autoFilter ref="A1:L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paa ca. 1 mia. kr. om aaret,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paa ca. 1 mia. kr. om aaret,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section 81</t>
        </is>
      </c>
      <c r="D19" s="15" t="inlineStr">
        <is>
          <t>Lov om betalinger, ss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DST1</t>
        </is>
      </c>
      <c r="B23" s="15" t="inlineStr">
        <is>
          <t>Danmarks Statistik</t>
        </is>
      </c>
      <c r="C23" s="15" t="inlineStr">
        <is>
          <t>Detailomsaetningsindeks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44" customHeight="1">
      <c r="A2" s="24" t="inlineStr">
        <is>
          <t>DK.PAY.CASH.POS</t>
        </is>
      </c>
      <c r="B2" s="15" t="inlineStr">
        <is>
          <t>Cash as a share of the NUMBER of payments made at physical points of sale.</t>
        </is>
      </c>
      <c r="C2" s="15" t="inlineStr">
        <is>
          <t>Not a share of value. Excludes e-commerce entirely.</t>
        </is>
      </c>
    </row>
    <row r="3" ht="44" customHeight="1">
      <c r="A3" s="24" t="inlineStr">
        <is>
          <t>DK.PAY.CRD.PHYS</t>
        </is>
      </c>
      <c r="B3" s="15" t="inlineStr">
        <is>
          <t>Physical payment cards as a share of the number of in-store payments.</t>
        </is>
      </c>
      <c r="C3" s="15" t="inlineStr">
        <is>
          <t>Falls partly because wallets replace the physical card, not because card payment declines.</t>
        </is>
      </c>
    </row>
    <row r="4" ht="44" customHeight="1">
      <c r="A4" s="24" t="inlineStr">
        <is>
          <t>DK.PAY.WLT.SHR</t>
        </is>
      </c>
      <c r="B4" s="15" t="inlineStr">
        <is>
          <t>Card-based mobile wallets as a share of the number of in-store payments.</t>
        </is>
      </c>
      <c r="C4" s="15" t="inlineStr">
        <is>
          <t>Wallet payments are card payments. Do not add to the card share.</t>
        </is>
      </c>
    </row>
    <row r="5" ht="44" customHeight="1">
      <c r="A5" s="24" t="inlineStr">
        <is>
          <t>DK.PAY.WLT.OWN</t>
        </is>
      </c>
      <c r="B5" s="15" t="inlineStr">
        <is>
          <t>Share of CITIZENS with a wallet solution on their phone.</t>
        </is>
      </c>
      <c r="C5" s="15" t="inlineStr">
        <is>
          <t>Different denominator from the payment-share series. Memo only - deliberately excluded from Figure 2.</t>
        </is>
      </c>
    </row>
    <row r="6" ht="44" customHeight="1">
      <c r="A6" s="24" t="inlineStr">
        <is>
          <t>DK.FIN.BRCH</t>
        </is>
      </c>
      <c r="B6" s="15" t="inlineStr">
        <is>
          <t>Number of retail bank branches operated by Danish credit institutions.</t>
        </is>
      </c>
      <c r="C6" s="15" t="inlineStr">
        <is>
          <t>Consolidation and digitalisation both reduce this. The series alone cannot separate the two causes.</t>
        </is>
      </c>
    </row>
    <row r="7" ht="44" customHeight="1">
      <c r="A7" s="24" t="inlineStr">
        <is>
          <t>DK.ECM.IND.BUY</t>
        </is>
      </c>
      <c r="B7" s="15" t="inlineStr">
        <is>
          <t>Individuals who purchased goods or services online in the last 12 months.</t>
        </is>
      </c>
      <c r="C7" s="15" t="inlineStr">
        <is>
          <t>DENOMINATOR BREAK at 2020: % of individuals before, % of internet users after. Never plot 2019 with later years.</t>
        </is>
      </c>
    </row>
    <row r="8" ht="44" customHeight="1">
      <c r="A8" s="24" t="inlineStr">
        <is>
          <t>DK.ECM.ENT.TRN</t>
        </is>
      </c>
      <c r="B8" s="15" t="inlineStr">
        <is>
          <t>E-commerce sales as a share of total enterprise turnover.</t>
        </is>
      </c>
      <c r="C8" s="15" t="inlineStr">
        <is>
          <t>Measures INTENSITY of online selling, not how many firms sell online. Pair with DK.ECM.ENT.SHR.</t>
        </is>
      </c>
    </row>
    <row r="9" ht="44" customHeight="1">
      <c r="A9" s="24" t="inlineStr">
        <is>
          <t>DK.ECM.ENT.SHR</t>
        </is>
      </c>
      <c r="B9" s="15" t="inlineStr">
        <is>
          <t>Share of enterprises making any e-sales.</t>
        </is>
      </c>
      <c r="C9" s="15" t="inlineStr">
        <is>
          <t>Measures BREADTH of adoption. Flat breadth with rising intensity means incumbents deepening, not new entrants.</t>
        </is>
      </c>
    </row>
    <row r="10" ht="44" customHeight="1">
      <c r="A10" s="24" t="inlineStr">
        <is>
          <t>DK.DGP.EXMP</t>
        </is>
      </c>
      <c r="B10" s="15" t="inlineStr">
        <is>
          <t>Citizens formally exempt from mandatory Digital Post under the statutory exemption regime.</t>
        </is>
      </c>
      <c r="C10" s="15" t="inlineStr">
        <is>
          <t>An administrative status, not a measure of capability. A citizen may struggle without being exempt.</t>
        </is>
      </c>
    </row>
    <row r="11" ht="44" customHeight="1">
      <c r="A11" s="24" t="inlineStr">
        <is>
          <t>DK.DGX.DIFF</t>
        </is>
      </c>
      <c r="B11" s="15" t="inlineStr">
        <is>
          <t>Population estimated to face difficulties using digital public services.</t>
        </is>
      </c>
      <c r="C11" s="15" t="inlineStr">
        <is>
          <t>A capability estimate, not an administrative count. Much larger than the exemption rate - that gap is the analytical point.</t>
        </is>
      </c>
    </row>
    <row r="12" ht="44" customHeight="1">
      <c r="A12" s="24" t="inlineStr">
        <is>
          <t>DK.DGX.JUST</t>
        </is>
      </c>
      <c r="B12" s="15" t="inlineStr">
        <is>
          <t>Justitia's estimate of the digitally disadvantaged adult population.</t>
        </is>
      </c>
      <c r="C12" s="15" t="inlineStr">
        <is>
          <t>Think-tank estimate, broadest definition of the five. Cite as an upper bound, not as an official statistic.</t>
        </is>
      </c>
    </row>
    <row r="13" ht="44" customHeight="1">
      <c r="A13" s="24" t="inlineStr">
        <is>
          <t>DK.GOV.DPS.CIT</t>
        </is>
      </c>
      <c r="B13" s="15" t="inlineStr">
        <is>
          <t>eGovernment Benchmark composite score for citizen-facing digital public services.</t>
        </is>
      </c>
      <c r="C13" s="15" t="inlineStr">
        <is>
          <t>A composite index, not a usage rate. Denmark scores BELOW the EU average despite near-universal mandated use.</t>
        </is>
      </c>
    </row>
    <row r="14" ht="44" customHeight="1">
      <c r="A14" s="24" t="inlineStr">
        <is>
          <t>DK.ENV.WEEE</t>
        </is>
      </c>
      <c r="B14" s="15" t="inlineStr">
        <is>
          <t>Share of collected ICT-related electrical waste recycled or prepared for reuse.</t>
        </is>
      </c>
      <c r="C14" s="15" t="inlineStr">
        <is>
          <t>Covers two WEEE categories only. Denominator is waste COLLECTED, not waste generated.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5"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6" t="inlineStr">
        <is>
          <t>Bank branches, 2004</t>
        </is>
      </c>
      <c r="B5" s="27">
        <f>IF(COUNTIFS('02_MASTER'!$B:$B,"DK.FIN.BRCH",'02_MASTER'!$E:$E,2004)=0,"",SUMIFS('02_MASTER'!$F:$F,'02_MASTER'!$B:$B,"DK.FIN.BRCH",'02_MASTER'!$E:$E,2004))</f>
        <v/>
      </c>
      <c r="C5" s="28" t="inlineStr">
        <is>
          <t>count</t>
        </is>
      </c>
      <c r="D5" s="29" t="inlineStr">
        <is>
          <t>Direct lookup from 02_MASTER.</t>
        </is>
      </c>
    </row>
    <row r="6" ht="30" customHeight="1">
      <c r="A6" s="26" t="inlineStr">
        <is>
          <t>Bank branches, 2024</t>
        </is>
      </c>
      <c r="B6" s="27">
        <f>IF(COUNTIFS('02_MASTER'!$B:$B,"DK.FIN.BRCH",'02_MASTER'!$E:$E,2024)=0,"",SUMIFS('02_MASTER'!$F:$F,'02_MASTER'!$B:$B,"DK.FIN.BRCH",'02_MASTER'!$E:$E,2024))</f>
        <v/>
      </c>
      <c r="C6" s="28" t="inlineStr">
        <is>
          <t>count</t>
        </is>
      </c>
      <c r="D6" s="29" t="inlineStr">
        <is>
          <t>Direct lookup from 02_MASTER.</t>
        </is>
      </c>
    </row>
    <row r="7" ht="30" customHeight="1">
      <c r="A7" s="26" t="inlineStr">
        <is>
          <t>Branch network change, 2004-2024</t>
        </is>
      </c>
      <c r="B7" s="30">
        <f>(IF(COUNTIFS('02_MASTER'!$B:$B,"DK.FIN.BRCH",'02_MASTER'!$E:$E,2024)=0,"",SUMIFS('02_MASTER'!$F:$F,'02_MASTER'!$B:$B,"DK.FIN.BRCH",'02_MASTER'!$E:$E,2024))/IF(COUNTIFS('02_MASTER'!$B:$B,"DK.FIN.BRCH",'02_MASTER'!$E:$E,2004)=0,"",SUMIFS('02_MASTER'!$F:$F,'02_MASTER'!$B:$B,"DK.FIN.BRCH",'02_MASTER'!$E:$E,2004)))-1</f>
        <v/>
      </c>
      <c r="C7" s="28" t="inlineStr">
        <is>
          <t>%</t>
        </is>
      </c>
      <c r="D7" s="29" t="inlineStr">
        <is>
          <t>Headline structural change for Figure 1.</t>
        </is>
      </c>
    </row>
    <row r="8" ht="30" customHeight="1">
      <c r="A8" s="26" t="inlineStr">
        <is>
          <t>Cash share change, 2017-2025</t>
        </is>
      </c>
      <c r="B8" s="31">
        <f>IF(COUNTIFS('02_MASTER'!$B:$B,"DK.PAY.CASH.POS",'02_MASTER'!$E:$E,2025)=0,"",SUMIFS('02_MASTER'!$F:$F,'02_MASTER'!$B:$B,"DK.PAY.CASH.POS",'02_MASTER'!$E:$E,2025))-IF(COUNTIFS('02_MASTER'!$B:$B,"DK.PAY.CASH.POS",'02_MASTER'!$E:$E,2017)=0,"",SUMIFS('02_MASTER'!$F:$F,'02_MASTER'!$B:$B,"DK.PAY.CASH.POS",'02_MASTER'!$E:$E,2017))</f>
        <v/>
      </c>
      <c r="C8" s="28" t="inlineStr">
        <is>
          <t>pp</t>
        </is>
      </c>
      <c r="D8" s="29" t="inlineStr">
        <is>
          <t>Percentage-point change, not a growth rate - both terms are shares.</t>
        </is>
      </c>
    </row>
    <row r="9" ht="30" customHeight="1">
      <c r="A9" s="26" t="inlineStr">
        <is>
          <t>Cash share, proportional decline 2017-2025</t>
        </is>
      </c>
      <c r="B9" s="30">
        <f>(IF(COUNTIFS('02_MASTER'!$B:$B,"DK.PAY.CASH.POS",'02_MASTER'!$E:$E,2025)=0,"",SUMIFS('02_MASTER'!$F:$F,'02_MASTER'!$B:$B,"DK.PAY.CASH.POS",'02_MASTER'!$E:$E,2025))/IF(COUNTIFS('02_MASTER'!$B:$B,"DK.PAY.CASH.POS",'02_MASTER'!$E:$E,2017)=0,"",SUMIFS('02_MASTER'!$F:$F,'02_MASTER'!$B:$B,"DK.PAY.CASH.POS",'02_MASTER'!$E:$E,2017)))-1</f>
        <v/>
      </c>
      <c r="C9" s="28" t="inlineStr">
        <is>
          <t>%</t>
        </is>
      </c>
      <c r="D9" s="29" t="inlineStr">
        <is>
          <t>Cash fell to roughly a third of its 2017 share.</t>
        </is>
      </c>
    </row>
    <row r="10" ht="30" customHeight="1">
      <c r="A10" s="26" t="inlineStr">
        <is>
          <t>DK e-sales turnover share, change 2014-2024</t>
        </is>
      </c>
      <c r="B10" s="30">
        <f>(IF(COUNTIFS('02_MASTER'!$B:$B,"DK.ECM.ENT.TRN",'02_MASTER'!$E:$E,2024)=0,"",SUMIFS('02_MASTER'!$F:$F,'02_MASTER'!$B:$B,"DK.ECM.ENT.TRN",'02_MASTER'!$E:$E,2024))/IF(COUNTIFS('02_MASTER'!$B:$B,"DK.ECM.ENT.TRN",'02_MASTER'!$E:$E,2014)=0,"",SUMIFS('02_MASTER'!$F:$F,'02_MASTER'!$B:$B,"DK.ECM.ENT.TRN",'02_MASTER'!$E:$E,2014)))-1</f>
        <v/>
      </c>
      <c r="C10" s="28" t="inlineStr">
        <is>
          <t>%</t>
        </is>
      </c>
      <c r="D10" s="29" t="inlineStr">
        <is>
          <t>Tests the 'enterprise plateau' claim. Intensity nearly doubled.</t>
        </is>
      </c>
    </row>
    <row r="11" ht="30" customHeight="1">
      <c r="A11" s="26" t="inlineStr">
        <is>
          <t>EU e-sales turnover share, change 2014-2024</t>
        </is>
      </c>
      <c r="B11" s="30">
        <f>(IF(COUNTIFS('02_MASTER'!$B:$B,"EU.ECM.ENT.TRN",'02_MASTER'!$E:$E,2024)=0,"",SUMIFS('02_MASTER'!$F:$F,'02_MASTER'!$B:$B,"EU.ECM.ENT.TRN",'02_MASTER'!$E:$E,2024))/IF(COUNTIFS('02_MASTER'!$B:$B,"EU.ECM.ENT.TRN",'02_MASTER'!$E:$E,2014)=0,"",SUMIFS('02_MASTER'!$F:$F,'02_MASTER'!$B:$B,"EU.ECM.ENT.TRN",'02_MASTER'!$E:$E,2014)))-1</f>
        <v/>
      </c>
      <c r="C11" s="28" t="inlineStr">
        <is>
          <t>%</t>
        </is>
      </c>
      <c r="D11" s="29" t="inlineStr">
        <is>
          <t>Comparator for the line above.</t>
        </is>
      </c>
    </row>
    <row r="12" ht="30" customHeight="1">
      <c r="A12" s="26" t="inlineStr">
        <is>
          <t>DK lead over EU on e-sales turnover, 2024</t>
        </is>
      </c>
      <c r="B12" s="31">
        <f>IF(COUNTIFS('02_MASTER'!$B:$B,"DK.ECM.ENT.TRN",'02_MASTER'!$E:$E,2024)=0,"",SUMIFS('02_MASTER'!$F:$F,'02_MASTER'!$B:$B,"DK.ECM.ENT.TRN",'02_MASTER'!$E:$E,2024))-IF(COUNTIFS('02_MASTER'!$B:$B,"EU.ECM.ENT.TRN",'02_MASTER'!$E:$E,2024)=0,"",SUMIFS('02_MASTER'!$F:$F,'02_MASTER'!$B:$B,"EU.ECM.ENT.TRN",'02_MASTER'!$E:$E,2024))</f>
        <v/>
      </c>
      <c r="C12" s="28" t="inlineStr">
        <is>
          <t>pp</t>
        </is>
      </c>
      <c r="D12" s="29" t="inlineStr">
        <is>
          <t>Denmark's margin over the EU average.</t>
        </is>
      </c>
    </row>
    <row r="13" ht="30" customHeight="1">
      <c r="A13" s="26" t="inlineStr">
        <is>
          <t>Exclusion ratio: difficulty vs formal exemption</t>
        </is>
      </c>
      <c r="B13" s="31">
        <f>IF(COUNTIFS('02_MASTER'!$B:$B,"DK.DGX.DIFF",'02_MASTER'!$E:$E,2026)=0,"",SUMIFS('02_MASTER'!$F:$F,'02_MASTER'!$B:$B,"DK.DGX.DIFF",'02_MASTER'!$E:$E,2026))/IF(COUNTIFS('02_MASTER'!$B:$B,"DK.DGP.EXMP",'02_MASTER'!$E:$E,2026)=0,"",SUMIFS('02_MASTER'!$F:$F,'02_MASTER'!$B:$B,"DK.DGP.EXMP",'02_MASTER'!$E:$E,2026))</f>
        <v/>
      </c>
      <c r="C13" s="28" t="inlineStr">
        <is>
          <t>ratio</t>
        </is>
      </c>
      <c r="D13" s="29" t="inlineStr">
        <is>
          <t>How many times larger the capability measure is than the administrative one. The core Q4 statistic.</t>
        </is>
      </c>
    </row>
    <row r="14" ht="30" customHeight="1">
      <c r="A14" s="26" t="inlineStr">
        <is>
          <t>Citizens struggling but NOT exempt</t>
        </is>
      </c>
      <c r="B14" s="31">
        <f>IF(COUNTIFS('02_MASTER'!$B:$B,"DK.DGX.DIFF",'02_MASTER'!$E:$E,2026)=0,"",SUMIFS('02_MASTER'!$F:$F,'02_MASTER'!$B:$B,"DK.DGX.DIFF",'02_MASTER'!$E:$E,2026))-IF(COUNTIFS('02_MASTER'!$B:$B,"DK.DGP.EXMP",'02_MASTER'!$E:$E,2026)=0,"",SUMIFS('02_MASTER'!$F:$F,'02_MASTER'!$B:$B,"DK.DGP.EXMP",'02_MASTER'!$E:$E,2026))</f>
        <v/>
      </c>
      <c r="C14" s="28" t="inlineStr">
        <is>
          <t>pp</t>
        </is>
      </c>
      <c r="D14" s="29" t="inlineStr">
        <is>
          <t>Population facing difficulty without statutory relief.</t>
        </is>
      </c>
    </row>
    <row r="15" ht="30" customHeight="1">
      <c r="A15" s="26" t="inlineStr">
        <is>
          <t>Digital skills gap, 16-24 vs 55-74</t>
        </is>
      </c>
      <c r="B15" s="31">
        <f>IF(COUNTIFS('02_MASTER'!$B:$B,"DK.SKL.1624",'02_MASTER'!$E:$E,2025)=0,"",SUMIFS('02_MASTER'!$F:$F,'02_MASTER'!$B:$B,"DK.SKL.1624",'02_MASTER'!$E:$E,2025))-IF(COUNTIFS('02_MASTER'!$B:$B,"DK.SKL.5574",'02_MASTER'!$E:$E,2025)=0,"",SUMIFS('02_MASTER'!$F:$F,'02_MASTER'!$B:$B,"DK.SKL.5574",'02_MASTER'!$E:$E,2025))</f>
        <v/>
      </c>
      <c r="C15" s="28" t="inlineStr">
        <is>
          <t>pp</t>
        </is>
      </c>
      <c r="D15" s="29" t="inlineStr">
        <is>
          <t>Generational gradient in basic digital skills.</t>
        </is>
      </c>
    </row>
    <row r="16" ht="30" customHeight="1">
      <c r="A16" s="26" t="inlineStr">
        <is>
          <t>AI adoption gap, large firms vs SMEs</t>
        </is>
      </c>
      <c r="B16" s="31">
        <f>IF(COUNTIFS('02_MASTER'!$B:$B,"DK.ENT.AI.LRG",'02_MASTER'!$E:$E,2025)=0,"",SUMIFS('02_MASTER'!$F:$F,'02_MASTER'!$B:$B,"DK.ENT.AI.LRG",'02_MASTER'!$E:$E,2025))-IF(COUNTIFS('02_MASTER'!$B:$B,"DK.ENT.AI.SME",'02_MASTER'!$E:$E,2025)=0,"",SUMIFS('02_MASTER'!$F:$F,'02_MASTER'!$B:$B,"DK.ENT.AI.SME",'02_MASTER'!$E:$E,2025))</f>
        <v/>
      </c>
      <c r="C16" s="28" t="inlineStr">
        <is>
          <t>pp</t>
        </is>
      </c>
      <c r="D16" s="29" t="inlineStr">
        <is>
          <t>Depth-of-adoption gap behind the 'breadth without depth' finding.</t>
        </is>
      </c>
    </row>
    <row r="17" ht="30" customHeight="1">
      <c r="A17" s="26" t="inlineStr">
        <is>
          <t>DK shortfall vs EU, citizen digital public services</t>
        </is>
      </c>
      <c r="B17" s="31">
        <f>IF(COUNTIFS('02_MASTER'!$B:$B,"DK.GOV.DPS.CIT",'02_MASTER'!$E:$E,2025)=0,"",SUMIFS('02_MASTER'!$F:$F,'02_MASTER'!$B:$B,"DK.GOV.DPS.CIT",'02_MASTER'!$E:$E,2025))-IF(COUNTIFS('02_MASTER'!$B:$B,"EU.GOV.DPS.CIT",'02_MASTER'!$E:$E,2025)=0,"",SUMIFS('02_MASTER'!$F:$F,'02_MASTER'!$B:$B,"EU.GOV.DPS.CIT",'02_MASTER'!$E:$E,2025))</f>
        <v/>
      </c>
      <c r="C17" s="28" t="inlineStr">
        <is>
          <t>points</t>
        </is>
      </c>
      <c r="D17" s="29" t="inlineStr">
        <is>
          <t>Negative: Denmark scores below the EU average.</t>
        </is>
      </c>
    </row>
    <row r="18" ht="30" customHeight="1">
      <c r="A18" s="26" t="inlineStr">
        <is>
          <t>DK shortfall vs EU, ICT waste recycling</t>
        </is>
      </c>
      <c r="B18" s="31">
        <f>IF(COUNTIFS('02_MASTER'!$B:$B,"DK.ENV.WEEE",'02_MASTER'!$E:$E,2023)=0,"",SUMIFS('02_MASTER'!$F:$F,'02_MASTER'!$B:$B,"DK.ENV.WEEE",'02_MASTER'!$E:$E,2023))-IF(COUNTIFS('02_MASTER'!$B:$B,"EU.ENV.WEEE",'02_MASTER'!$E:$E,2023)=0,"",SUMIFS('02_MASTER'!$F:$F,'02_MASTER'!$B:$B,"EU.ENV.WEEE",'02_MASTER'!$E:$E,2023))</f>
        <v/>
      </c>
      <c r="C18" s="28" t="inlineStr">
        <is>
          <t>pp</t>
        </is>
      </c>
      <c r="D18" s="29" t="inlineStr">
        <is>
          <t>Negative and large - candidate SDG evidence.</t>
        </is>
      </c>
    </row>
    <row r="19" ht="30" customHeight="1">
      <c r="A19" s="26" t="inlineStr">
        <is>
          <t>Trust in digital public solutions, change 2024-2025</t>
        </is>
      </c>
      <c r="B19" s="31">
        <f>IF(COUNTIFS('02_MASTER'!$B:$B,"DK.TRU.DPS",'02_MASTER'!$E:$E,2025)=0,"",SUMIFS('02_MASTER'!$F:$F,'02_MASTER'!$B:$B,"DK.TRU.DPS",'02_MASTER'!$E:$E,2025))-IF(COUNTIFS('02_MASTER'!$B:$B,"DK.TRU.DPS",'02_MASTER'!$E:$E,2024)=0,"",SUMIFS('02_MASTER'!$F:$F,'02_MASTER'!$B:$B,"DK.TRU.DPS",'02_MASTER'!$E:$E,2024))</f>
        <v/>
      </c>
      <c r="C19" s="28" t="inlineStr">
        <is>
          <t>pp</t>
        </is>
      </c>
      <c r="D19" s="29" t="inlineStr">
        <is>
          <t>Trust rising while the mandate is in force.</t>
        </is>
      </c>
    </row>
    <row r="20" ht="30" customHeight="1">
      <c r="A20" s="26" t="inlineStr">
        <is>
          <t>Perceived security of Digital Post, change 2017-2025</t>
        </is>
      </c>
      <c r="B20" s="31">
        <f>IF(COUNTIFS('02_MASTER'!$B:$B,"DK.TRU.DGP.SEC",'02_MASTER'!$E:$E,2025)=0,"",SUMIFS('02_MASTER'!$F:$F,'02_MASTER'!$B:$B,"DK.TRU.DGP.SEC",'02_MASTER'!$E:$E,2025))-IF(COUNTIFS('02_MASTER'!$B:$B,"DK.TRU.DGP.SEC",'02_MASTER'!$E:$E,2017)=0,"",SUMIFS('02_MASTER'!$F:$F,'02_MASTER'!$B:$B,"DK.TRU.DGP.SEC",'02_MASTER'!$E:$E,2017))</f>
        <v/>
      </c>
      <c r="C20" s="28" t="inlineStr">
        <is>
          <t>pp</t>
        </is>
      </c>
      <c r="D20" s="29" t="inlineStr">
        <is>
          <t>Trust in the mandated system over the mandate period (CLO4).</t>
        </is>
      </c>
    </row>
    <row r="21" ht="30" customHeight="1">
      <c r="A21" s="26" t="inlineStr">
        <is>
          <t>Digital Post: projected annual saving</t>
        </is>
      </c>
      <c r="B21" s="31">
        <f>IF(COUNTIFS('02_MASTER'!$B:$B,"DK.GOV.DGP.SAVE.PLAN",'02_MASTER'!$E:$E,2016)=0,"",SUMIFS('02_MASTER'!$F:$F,'02_MASTER'!$B:$B,"DK.GOV.DGP.SAVE.PLAN",'02_MASTER'!$E:$E,2016))</f>
        <v/>
      </c>
      <c r="C21" s="28" t="inlineStr">
        <is>
          <t>mDKK/yr</t>
        </is>
      </c>
      <c r="D21" s="29" t="inlineStr">
        <is>
          <t>Ministry of Finance business case for the mandate (RR1).</t>
        </is>
      </c>
    </row>
    <row r="22" ht="30" customHeight="1">
      <c r="A22" s="26" t="inlineStr">
        <is>
          <t>Digital Post: saving verifiable by audit</t>
        </is>
      </c>
      <c r="B22" s="31">
        <f>IF(COUNTIFS('02_MASTER'!$B:$B,"DK.GOV.DGP.SAVE.VERIF",'02_MASTER'!$E:$E,2016)=0,"",SUMIFS('02_MASTER'!$F:$F,'02_MASTER'!$B:$B,"DK.GOV.DGP.SAVE.VERIF",'02_MASTER'!$E:$E,2016))</f>
        <v/>
      </c>
      <c r="C22" s="28" t="inlineStr">
        <is>
          <t>mDKK/yr</t>
        </is>
      </c>
      <c r="D22" s="29" t="inlineStr">
        <is>
          <t>Postage, paper and envelopes only (RR1).</t>
        </is>
      </c>
    </row>
    <row r="23" ht="30" customHeight="1">
      <c r="A23" s="26" t="inlineStr">
        <is>
          <t>Digital Post: unverified share of the business case</t>
        </is>
      </c>
      <c r="B23" s="30">
        <f>1-(IF(COUNTIFS('02_MASTER'!$B:$B,"DK.GOV.DGP.SAVE.VERIF",'02_MASTER'!$E:$E,2016)=0,"",SUMIFS('02_MASTER'!$F:$F,'02_MASTER'!$B:$B,"DK.GOV.DGP.SAVE.VERIF",'02_MASTER'!$E:$E,2016))/IF(COUNTIFS('02_MASTER'!$B:$B,"DK.GOV.DGP.SAVE.PLAN",'02_MASTER'!$E:$E,2016)=0,"",SUMIFS('02_MASTER'!$F:$F,'02_MASTER'!$B:$B,"DK.GOV.DGP.SAVE.PLAN",'02_MASTER'!$E:$E,2016)))</f>
        <v/>
      </c>
      <c r="C23" s="28" t="inlineStr">
        <is>
          <t>%</t>
        </is>
      </c>
      <c r="D23" s="29" t="inlineStr">
        <is>
          <t>Over half the projected saving - the wage and overhead component - was never substantiated. The cross-government study intended to test it was abandoned. The strongest cost-side finding in this workbook.</t>
        </is>
      </c>
    </row>
    <row r="24" ht="30" customHeight="1">
      <c r="A24" s="26" t="inlineStr">
        <is>
          <t>Digital Post: cost per formally exempt citizen, if the shortfall is real</t>
        </is>
      </c>
      <c r="B24" s="31">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8" t="inlineStr">
        <is>
          <t>DKK</t>
        </is>
      </c>
      <c r="D24" s="29" t="inlineStr">
        <is>
          <t>ILLUSTRATIVE ONLY, and not a real unit cost: it divides an unverified saving shortfall by an unrelated headcount. Included because the comparison of magnitudes is informative; it must not be quoted as a cost per person.</t>
        </is>
      </c>
    </row>
    <row r="25" ht="30" customHeight="1">
      <c r="A25" s="26" t="inlineStr">
        <is>
          <t>Resident population, 1 January 2026</t>
        </is>
      </c>
      <c r="B25" s="27">
        <f>IF(COUNTIFS('02_MASTER'!$B:$B,"DK.POP.TOT",'02_MASTER'!$E:$E,2026)=0,"",SUMIFS('02_MASTER'!$F:$F,'02_MASTER'!$B:$B,"DK.POP.TOT",'02_MASTER'!$E:$E,2026))</f>
        <v/>
      </c>
      <c r="C25" s="28" t="inlineStr">
        <is>
          <t>count</t>
        </is>
      </c>
      <c r="D25" s="29" t="inlineStr">
        <is>
          <t>Direct lookup. The only population level in the workbook (DST2).</t>
        </is>
      </c>
    </row>
    <row r="26" ht="30" customHeight="1">
      <c r="A26" s="26" t="inlineStr">
        <is>
          <t>Citizens formally exempt from Digital Post, Q1 2026</t>
        </is>
      </c>
      <c r="B26" s="27">
        <f>IF(COUNTIFS('02_MASTER'!$B:$B,"DK.DGP.EXMP.N",'02_MASTER'!$E:$E,2026)=0,"",SUMIFS('02_MASTER'!$F:$F,'02_MASTER'!$B:$B,"DK.DGP.EXMP.N",'02_MASTER'!$E:$E,2026))</f>
        <v/>
      </c>
      <c r="C26" s="28" t="inlineStr">
        <is>
          <t>count</t>
        </is>
      </c>
      <c r="D26" s="29" t="inlineStr">
        <is>
          <t>Headcount behind the 4.7% rate (DG1).</t>
        </is>
      </c>
    </row>
    <row r="27" ht="30" customHeight="1">
      <c r="A27" s="26" t="inlineStr">
        <is>
          <t>Change in exempt headcount, 2025 to 2026</t>
        </is>
      </c>
      <c r="B27" s="27">
        <f>IF(COUNTIFS('02_MASTER'!$B:$B,"DK.DGP.EXMP.N",'02_MASTER'!$E:$E,2026)=0,"",SUMIFS('02_MASTER'!$F:$F,'02_MASTER'!$B:$B,"DK.DGP.EXMP.N",'02_MASTER'!$E:$E,2026))-IF(COUNTIFS('02_MASTER'!$B:$B,"DK.DGP.EXMP.N",'02_MASTER'!$E:$E,2025)=0,"",SUMIFS('02_MASTER'!$F:$F,'02_MASTER'!$B:$B,"DK.DGP.EXMP.N",'02_MASTER'!$E:$E,2025))</f>
        <v/>
      </c>
      <c r="C27" s="28" t="inlineStr">
        <is>
          <t>count</t>
        </is>
      </c>
      <c r="D27" s="29"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5" t="inlineStr">
        <is>
          <t>Series DK.FIN.BRCH. Values are formula lookups from 02_MASTER.</t>
        </is>
      </c>
    </row>
    <row r="3">
      <c r="D3" s="32" t="inlineStr">
        <is>
          <t>Bank branches in Denmark, 2004-2024</t>
        </is>
      </c>
    </row>
    <row r="4" ht="28" customHeight="1">
      <c r="A4" s="8" t="inlineStr">
        <is>
          <t>year</t>
        </is>
      </c>
      <c r="B4" s="8" t="inlineStr">
        <is>
          <t>bank branches</t>
        </is>
      </c>
      <c r="D4" s="25" t="inlineStr">
        <is>
          <t>Count of retail branches. Uneven year spacing, numeric X axis.</t>
        </is>
      </c>
    </row>
    <row r="5">
      <c r="A5" s="26" t="n">
        <v>2004</v>
      </c>
      <c r="B5" s="33">
        <f>IF(COUNTIFS('02_MASTER'!$B:$B,"DK.FIN.BRCH",'02_MASTER'!$E:$E,2004)=0,"",SUMIFS('02_MASTER'!$F:$F,'02_MASTER'!$B:$B,"DK.FIN.BRCH",'02_MASTER'!$E:$E,2004))</f>
        <v/>
      </c>
    </row>
    <row r="6">
      <c r="A6" s="26" t="n">
        <v>2006</v>
      </c>
      <c r="B6" s="33">
        <f>IF(COUNTIFS('02_MASTER'!$B:$B,"DK.FIN.BRCH",'02_MASTER'!$E:$E,2006)=0,"",SUMIFS('02_MASTER'!$F:$F,'02_MASTER'!$B:$B,"DK.FIN.BRCH",'02_MASTER'!$E:$E,2006))</f>
        <v/>
      </c>
    </row>
    <row r="7">
      <c r="A7" s="26" t="n">
        <v>2010</v>
      </c>
      <c r="B7" s="33">
        <f>IF(COUNTIFS('02_MASTER'!$B:$B,"DK.FIN.BRCH",'02_MASTER'!$E:$E,2010)=0,"",SUMIFS('02_MASTER'!$F:$F,'02_MASTER'!$B:$B,"DK.FIN.BRCH",'02_MASTER'!$E:$E,2010))</f>
        <v/>
      </c>
    </row>
    <row r="8">
      <c r="A8" s="26" t="n">
        <v>2016</v>
      </c>
      <c r="B8" s="33">
        <f>IF(COUNTIFS('02_MASTER'!$B:$B,"DK.FIN.BRCH",'02_MASTER'!$E:$E,2016)=0,"",SUMIFS('02_MASTER'!$F:$F,'02_MASTER'!$B:$B,"DK.FIN.BRCH",'02_MASTER'!$E:$E,2016))</f>
        <v/>
      </c>
    </row>
    <row r="9">
      <c r="A9" s="26" t="n">
        <v>2021</v>
      </c>
      <c r="B9" s="33">
        <f>IF(COUNTIFS('02_MASTER'!$B:$B,"DK.FIN.BRCH",'02_MASTER'!$E:$E,2021)=0,"",SUMIFS('02_MASTER'!$F:$F,'02_MASTER'!$B:$B,"DK.FIN.BRCH",'02_MASTER'!$E:$E,2021))</f>
        <v/>
      </c>
    </row>
    <row r="10">
      <c r="A10" s="26" t="n">
        <v>2024</v>
      </c>
      <c r="B10" s="33">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5" t="inlineStr">
        <is>
          <t>Denominator throughout: share of the NUMBER of in-store payments.</t>
        </is>
      </c>
    </row>
    <row r="4">
      <c r="A4" s="3" t="inlineStr">
        <is>
          <t>Panel A - Cash share of in-store payments</t>
        </is>
      </c>
      <c r="D4" s="32" t="inlineStr">
        <is>
          <t>Cash share of in-store payments, 2017-2025</t>
        </is>
      </c>
    </row>
    <row r="5" ht="28" customHeight="1">
      <c r="A5" s="8" t="inlineStr">
        <is>
          <t>year</t>
        </is>
      </c>
      <c r="B5" s="8" t="inlineStr">
        <is>
          <t>cash (%)</t>
        </is>
      </c>
      <c r="D5" s="25" t="inlineStr">
        <is>
          <t>% of the number of payments made in physical retail.</t>
        </is>
      </c>
    </row>
    <row r="6">
      <c r="A6" s="26" t="n">
        <v>2017</v>
      </c>
      <c r="B6" s="35">
        <f>IF(COUNTIFS('02_MASTER'!$B:$B,"DK.PAY.CASH.POS",'02_MASTER'!$E:$E,2017)=0,"",SUMIFS('02_MASTER'!$F:$F,'02_MASTER'!$B:$B,"DK.PAY.CASH.POS",'02_MASTER'!$E:$E,2017))</f>
        <v/>
      </c>
    </row>
    <row r="7">
      <c r="A7" s="26" t="n">
        <v>2023</v>
      </c>
      <c r="B7" s="35">
        <f>IF(COUNTIFS('02_MASTER'!$B:$B,"DK.PAY.CASH.POS",'02_MASTER'!$E:$E,2023)=0,"",SUMIFS('02_MASTER'!$F:$F,'02_MASTER'!$B:$B,"DK.PAY.CASH.POS",'02_MASTER'!$E:$E,2023))</f>
        <v/>
      </c>
    </row>
    <row r="8">
      <c r="A8" s="26" t="n">
        <v>2025</v>
      </c>
      <c r="B8" s="35">
        <f>IF(COUNTIFS('02_MASTER'!$B:$B,"DK.PAY.CASH.POS",'02_MASTER'!$E:$E,2025)=0,"",SUMIFS('02_MASTER'!$F:$F,'02_MASTER'!$B:$B,"DK.PAY.CASH.POS",'02_MASTER'!$E:$E,2025))</f>
        <v/>
      </c>
    </row>
    <row r="10">
      <c r="A10" s="3" t="inlineStr">
        <is>
          <t>Panel B - Composition of in-store payments, 2025</t>
        </is>
      </c>
      <c r="D10" s="32" t="inlineStr">
        <is>
          <t>Composition of in-store payments, 2025</t>
        </is>
      </c>
    </row>
    <row r="11" ht="28" customHeight="1">
      <c r="A11" s="8" t="inlineStr">
        <is>
          <t>instrument</t>
        </is>
      </c>
      <c r="B11" s="8" t="inlineStr">
        <is>
          <t>share of payments (%)</t>
        </is>
      </c>
      <c r="D11" s="25" t="inlineStr">
        <is>
          <t>Sums to 95%; the residual is other digital instruments.</t>
        </is>
      </c>
    </row>
    <row r="12">
      <c r="A12" s="26" t="inlineStr">
        <is>
          <t>Physical payment card</t>
        </is>
      </c>
      <c r="B12" s="35">
        <f>IF(COUNTIFS('02_MASTER'!$B:$B,"DK.PAY.CRD.PHYS",'02_MASTER'!$E:$E,2025)=0,"",SUMIFS('02_MASTER'!$F:$F,'02_MASTER'!$B:$B,"DK.PAY.CRD.PHYS",'02_MASTER'!$E:$E,2025))</f>
        <v/>
      </c>
    </row>
    <row r="13">
      <c r="A13" s="26" t="inlineStr">
        <is>
          <t>Mobile wallet (card-based)</t>
        </is>
      </c>
      <c r="B13" s="35">
        <f>IF(COUNTIFS('02_MASTER'!$B:$B,"DK.PAY.WLT.SHR",'02_MASTER'!$E:$E,2025)=0,"",SUMIFS('02_MASTER'!$F:$F,'02_MASTER'!$B:$B,"DK.PAY.WLT.SHR",'02_MASTER'!$E:$E,2025))</f>
        <v/>
      </c>
    </row>
    <row r="14">
      <c r="A14" s="26"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6" t="n">
        <v>2019</v>
      </c>
      <c r="B18" s="36">
        <f>IF(COUNTIFS('02_MASTER'!$B:$B,"DK.PAY.WLT.OWN",'02_MASTER'!$E:$E,2019)=0,"",SUMIFS('02_MASTER'!$F:$F,'02_MASTER'!$B:$B,"DK.PAY.WLT.OWN",'02_MASTER'!$E:$E,2019))</f>
        <v/>
      </c>
    </row>
    <row r="19">
      <c r="A19" s="26" t="n">
        <v>2023</v>
      </c>
      <c r="B19" s="36">
        <f>IF(COUNTIFS('02_MASTER'!$B:$B,"DK.PAY.WLT.OWN",'02_MASTER'!$E:$E,2023)=0,"",SUMIFS('02_MASTER'!$F:$F,'02_MASTER'!$B:$B,"DK.PAY.WLT.OWN",'02_MASTER'!$E:$E,2023))</f>
        <v/>
      </c>
    </row>
    <row r="20">
      <c r="A20" s="26"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ss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5" t="inlineStr">
        <is>
          <t>Tests the 'enterprise plateau' claim: intensity nearly doubled.</t>
        </is>
      </c>
    </row>
    <row r="3">
      <c r="E3" s="32" t="inlineStr">
        <is>
          <t>E-sales as % of enterprise turnover, DK vs EU-27</t>
        </is>
      </c>
    </row>
    <row r="4" ht="28" customHeight="1">
      <c r="A4" s="8" t="inlineStr">
        <is>
          <t>year</t>
        </is>
      </c>
      <c r="B4" s="8" t="inlineStr">
        <is>
          <t>Denmark</t>
        </is>
      </c>
      <c r="C4" s="8" t="inlineStr">
        <is>
          <t>EU-27</t>
        </is>
      </c>
      <c r="E4" s="25" t="inlineStr">
        <is>
          <t>Denmark in blue; the EU average in grey.</t>
        </is>
      </c>
    </row>
    <row r="5">
      <c r="A5" s="26" t="n">
        <v>2014</v>
      </c>
      <c r="B5" s="37">
        <f>IF(COUNTIFS('02_MASTER'!$B:$B,"DK.ECM.ENT.TRN",'02_MASTER'!$E:$E,2014)=0,"",SUMIFS('02_MASTER'!$F:$F,'02_MASTER'!$B:$B,"DK.ECM.ENT.TRN",'02_MASTER'!$E:$E,2014))</f>
        <v/>
      </c>
      <c r="C5" s="37">
        <f>IF(COUNTIFS('02_MASTER'!$B:$B,"EU.ECM.ENT.TRN",'02_MASTER'!$E:$E,2014)=0,"",SUMIFS('02_MASTER'!$F:$F,'02_MASTER'!$B:$B,"EU.ECM.ENT.TRN",'02_MASTER'!$E:$E,2014))</f>
        <v/>
      </c>
    </row>
    <row r="6">
      <c r="A6" s="26"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6" t="inlineStr">
        <is>
          <t>Enterprises making e-sales (%)</t>
        </is>
      </c>
      <c r="B11" s="38">
        <f>IF(COUNTIFS('02_MASTER'!$B:$B,"DK.ECM.ENT.SHR",'02_MASTER'!$E:$E,2024)=0,"",SUMIFS('02_MASTER'!$F:$F,'02_MASTER'!$B:$B,"DK.ECM.ENT.SHR",'02_MASTER'!$E:$E,2024))</f>
        <v/>
      </c>
      <c r="C11" s="28" t="inlineStr">
        <is>
          <t>Lithuania 43.03 (highest)</t>
        </is>
      </c>
    </row>
    <row r="12">
      <c r="A12" s="26" t="inlineStr">
        <is>
          <t>E-sales share of turnover (%)</t>
        </is>
      </c>
      <c r="B12" s="38">
        <f>IF(COUNTIFS('02_MASTER'!$B:$B,"DK.ECM.ENT.TRN",'02_MASTER'!$E:$E,2024)=0,"",SUMIFS('02_MASTER'!$F:$F,'02_MASTER'!$B:$B,"DK.ECM.ENT.TRN",'02_MASTER'!$E:$E,2024))</f>
        <v/>
      </c>
      <c r="C12" s="28" t="inlineStr">
        <is>
          <t>Ireland 38.25 (highest)</t>
        </is>
      </c>
    </row>
    <row r="13">
      <c r="A13" s="26" t="inlineStr">
        <is>
          <t>EU average, e-sales share of turnover (%)</t>
        </is>
      </c>
      <c r="B13" s="38">
        <f>IF(COUNTIFS('02_MASTER'!$B:$B,"EU.ECM.ENT.TRN",'02_MASTER'!$E:$E,2024)=0,"",SUMIFS('02_MASTER'!$F:$F,'02_MASTER'!$B:$B,"EU.ECM.ENT.TRN",'02_MASTER'!$E:$E,2024))</f>
        <v/>
      </c>
      <c r="C13" s="28"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5" t="inlineStr">
        <is>
          <t>Same phenomenon, five definitions. The spread is the finding.</t>
        </is>
      </c>
    </row>
    <row r="3">
      <c r="F3" s="32" t="inlineStr">
        <is>
          <t>Measures of digital exclusion, Denmark</t>
        </is>
      </c>
    </row>
    <row r="4" ht="28" customHeight="1">
      <c r="A4" s="8" t="inlineStr">
        <is>
          <t>measure</t>
        </is>
      </c>
      <c r="B4" s="8" t="inlineStr">
        <is>
          <t>%</t>
        </is>
      </c>
      <c r="C4" s="8" t="inlineStr">
        <is>
          <t>definition basis</t>
        </is>
      </c>
      <c r="D4" s="8" t="inlineStr">
        <is>
          <t>source</t>
        </is>
      </c>
      <c r="F4" s="25" t="inlineStr">
        <is>
          <t>Five definitions of the same phenomenon; they are nested, not contradictory.</t>
        </is>
      </c>
    </row>
    <row r="5">
      <c r="A5" s="26" t="inlineStr">
        <is>
          <t>Formally exempt from Digital Post (Q1 2026)</t>
        </is>
      </c>
      <c r="B5" s="35">
        <f>IF(COUNTIFS('02_MASTER'!$B:$B,"DK.DGP.EXMP",'02_MASTER'!$E:$E,2026)=0,"",SUMIFS('02_MASTER'!$F:$F,'02_MASTER'!$B:$B,"DK.DGP.EXMP",'02_MASTER'!$E:$E,2026))</f>
        <v/>
      </c>
      <c r="C5" s="28" t="inlineStr">
        <is>
          <t>administrative status</t>
        </is>
      </c>
      <c r="D5" s="39" t="inlineStr">
        <is>
          <t>DG1</t>
        </is>
      </c>
    </row>
    <row r="6">
      <c r="A6" s="26" t="inlineStr">
        <is>
          <t>Do not use digital public services at all</t>
        </is>
      </c>
      <c r="B6" s="35">
        <f>IF(COUNTIFS('02_MASTER'!$B:$B,"DK.DGX.NOUSE",'02_MASTER'!$E:$E,2026)=0,"",SUMIFS('02_MASTER'!$F:$F,'02_MASTER'!$B:$B,"DK.DGX.NOUSE",'02_MASTER'!$E:$E,2026))</f>
        <v/>
      </c>
      <c r="C6" s="28" t="inlineStr">
        <is>
          <t>self-reported non-use</t>
        </is>
      </c>
      <c r="D6" s="39" t="inlineStr">
        <is>
          <t>EC1</t>
        </is>
      </c>
    </row>
    <row r="7">
      <c r="A7" s="26" t="inlineStr">
        <is>
          <t>Face difficulties using digital public services</t>
        </is>
      </c>
      <c r="B7" s="35">
        <f>IF(COUNTIFS('02_MASTER'!$B:$B,"DK.DGX.DIFF",'02_MASTER'!$E:$E,2026)=0,"",SUMIFS('02_MASTER'!$F:$F,'02_MASTER'!$B:$B,"DK.DGX.DIFF",'02_MASTER'!$E:$E,2026))</f>
        <v/>
      </c>
      <c r="C7" s="28" t="inlineStr">
        <is>
          <t>capability estimate</t>
        </is>
      </c>
      <c r="D7" s="39" t="inlineStr">
        <is>
          <t>EC1</t>
        </is>
      </c>
    </row>
    <row r="8">
      <c r="A8" s="26" t="inlineStr">
        <is>
          <t>'Digitally disadvantaged' - lower bound</t>
        </is>
      </c>
      <c r="B8" s="35">
        <f>IF(COUNTIFS('02_MASTER'!$B:$B,"DK.DGX.DISADV.LO",'02_MASTER'!$E:$E,2025)=0,"",SUMIFS('02_MASTER'!$F:$F,'02_MASTER'!$B:$B,"DK.DGX.DISADV.LO",'02_MASTER'!$E:$E,2025))</f>
        <v/>
      </c>
      <c r="C8" s="28" t="inlineStr">
        <is>
          <t>capability estimate (range)</t>
        </is>
      </c>
      <c r="D8" s="39" t="inlineStr">
        <is>
          <t>DG2</t>
        </is>
      </c>
    </row>
    <row r="9">
      <c r="A9" s="26" t="inlineStr">
        <is>
          <t>'Digitally disadvantaged' - upper bound</t>
        </is>
      </c>
      <c r="B9" s="35">
        <f>IF(COUNTIFS('02_MASTER'!$B:$B,"DK.DGX.DISADV.HI",'02_MASTER'!$E:$E,2025)=0,"",SUMIFS('02_MASTER'!$F:$F,'02_MASTER'!$B:$B,"DK.DGX.DISADV.HI",'02_MASTER'!$E:$E,2025))</f>
        <v/>
      </c>
      <c r="C9" s="28" t="inlineStr">
        <is>
          <t>capability estimate (range)</t>
        </is>
      </c>
      <c r="D9" s="39" t="inlineStr">
        <is>
          <t>DG2</t>
        </is>
      </c>
    </row>
    <row r="10">
      <c r="A10" s="26" t="inlineStr">
        <is>
          <t>'Digitally disadvantaged' - Justitia</t>
        </is>
      </c>
      <c r="B10" s="35">
        <f>IF(COUNTIFS('02_MASTER'!$B:$B,"DK.DGX.JUST",'02_MASTER'!$E:$E,2022)=0,"",SUMIFS('02_MASTER'!$F:$F,'02_MASTER'!$B:$B,"DK.DGX.JUST",'02_MASTER'!$E:$E,2022))</f>
        <v/>
      </c>
      <c r="C10" s="28" t="inlineStr">
        <is>
          <t>broadest definition</t>
        </is>
      </c>
      <c r="D10" s="39" t="inlineStr">
        <is>
          <t>JU1</t>
        </is>
      </c>
    </row>
    <row r="12">
      <c r="A12" s="3" t="inlineStr">
        <is>
          <t>AGE GRADIENT IN FORMAL EXEMPTION (2022)</t>
        </is>
      </c>
    </row>
    <row r="13" ht="28" customHeight="1">
      <c r="A13" s="8" t="inlineStr">
        <is>
          <t>age group</t>
        </is>
      </c>
      <c r="B13" s="8" t="inlineStr">
        <is>
          <t>exempt (%)</t>
        </is>
      </c>
    </row>
    <row r="14">
      <c r="A14" s="26" t="inlineStr">
        <is>
          <t>Age 75-84</t>
        </is>
      </c>
      <c r="B14" s="36">
        <f>IF(COUNTIFS('02_MASTER'!$B:$B,"DK.DGP.EXMP.7584",'02_MASTER'!$E:$E,2022)=0,"",SUMIFS('02_MASTER'!$F:$F,'02_MASTER'!$B:$B,"DK.DGP.EXMP.7584",'02_MASTER'!$E:$E,2022))</f>
        <v/>
      </c>
    </row>
    <row r="15">
      <c r="A15" s="26"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6" t="inlineStr">
        <is>
          <t>Citizens formally exempt, Q1 2026</t>
        </is>
      </c>
      <c r="B19" s="33">
        <f>IF(COUNTIFS('02_MASTER'!$B:$B,"DK.DGP.EXMP.N",'02_MASTER'!$E:$E,2026)=0,"",SUMIFS('02_MASTER'!$F:$F,'02_MASTER'!$B:$B,"DK.DGP.EXMP.N",'02_MASTER'!$E:$E,2026))</f>
        <v/>
      </c>
      <c r="C19" s="29" t="inlineStr">
        <is>
          <t>Reported directly by the Agency for Digital Government (DG1).</t>
        </is>
      </c>
    </row>
    <row r="20" ht="40" customHeight="1">
      <c r="A20" s="26" t="inlineStr">
        <is>
          <t>Citizens formally exempt, April 2025</t>
        </is>
      </c>
      <c r="B20" s="33">
        <f>IF(COUNTIFS('02_MASTER'!$B:$B,"DK.DGP.EXMP.N",'02_MASTER'!$E:$E,2025)=0,"",SUMIFS('02_MASTER'!$F:$F,'02_MASTER'!$B:$B,"DK.DGP.EXMP.N",'02_MASTER'!$E:$E,2025))</f>
        <v/>
      </c>
      <c r="C20" s="29" t="inlineStr">
        <is>
          <t>Reported as approximately 256,000 (DG1).</t>
        </is>
      </c>
    </row>
    <row r="21" ht="40" customHeight="1">
      <c r="A21" s="26" t="inlineStr">
        <is>
          <t>Implied population aged 15+</t>
        </is>
      </c>
      <c r="B21" s="33">
        <f>IF(COUNTIFS('02_MASTER'!$B:$B,"DK.DGP.EXMP.N",'02_MASTER'!$E:$E,2026)=0,"",SUMIFS('02_MASTER'!$F:$F,'02_MASTER'!$B:$B,"DK.DGP.EXMP.N",'02_MASTER'!$E:$E,2026))/(IF(COUNTIFS('02_MASTER'!$B:$B,"DK.DGP.EXMP",'02_MASTER'!$E:$E,2026)=0,"",SUMIFS('02_MASTER'!$F:$F,'02_MASTER'!$B:$B,"DK.DGP.EXMP",'02_MASTER'!$E:$E,2026))/100)</f>
        <v/>
      </c>
      <c r="C21" s="29"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6" t="inlineStr">
        <is>
          <t>Implied persons who do not use digital public services at all</t>
        </is>
      </c>
      <c r="B22" s="33">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29" t="inlineStr">
        <is>
          <t>ORDER OF MAGNITUDE ONLY. Applies a share measured on 'the population' to a 15+ base; the denominators are not identical.</t>
        </is>
      </c>
    </row>
    <row r="23" ht="40" customHeight="1">
      <c r="A23" s="26" t="inlineStr">
        <is>
          <t>Implied persons facing difficulty with digital public services</t>
        </is>
      </c>
      <c r="B23" s="33">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29"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1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5" t="inlineStr">
        <is>
          <t>Verified EU countries only (8 of 27). Ranked, not a regression.</t>
        </is>
      </c>
    </row>
    <row r="3">
      <c r="E3" s="32" t="inlineStr">
        <is>
          <t>Individuals who bought online, 2024</t>
        </is>
      </c>
    </row>
    <row r="4" ht="28" customHeight="1">
      <c r="A4" s="8" t="inlineStr">
        <is>
          <t>country</t>
        </is>
      </c>
      <c r="B4" s="8" t="inlineStr">
        <is>
          <t>%</t>
        </is>
      </c>
      <c r="C4" s="8" t="inlineStr">
        <is>
          <t>series_code</t>
        </is>
      </c>
      <c r="E4" s="25" t="inlineStr">
        <is>
          <t>Denmark in blue, EU-27 average in navy, other members in grey.</t>
        </is>
      </c>
    </row>
    <row r="5">
      <c r="A5" s="26" t="inlineStr">
        <is>
          <t>Ireland</t>
        </is>
      </c>
      <c r="B5" s="35">
        <f>IF(COUNTIFS('02_MASTER'!$B:$B,"IE.ECM.IND.BUY",'02_MASTER'!$E:$E,2024)=0,"",SUMIFS('02_MASTER'!$F:$F,'02_MASTER'!$B:$B,"IE.ECM.IND.BUY",'02_MASTER'!$E:$E,2024))</f>
        <v/>
      </c>
      <c r="C5" s="39" t="inlineStr">
        <is>
          <t>IE.ECM.IND.BUY</t>
        </is>
      </c>
    </row>
    <row r="6">
      <c r="A6" s="26" t="inlineStr">
        <is>
          <t>Netherlands</t>
        </is>
      </c>
      <c r="B6" s="35">
        <f>IF(COUNTIFS('02_MASTER'!$B:$B,"NL.ECM.IND.BUY",'02_MASTER'!$E:$E,2024)=0,"",SUMIFS('02_MASTER'!$F:$F,'02_MASTER'!$B:$B,"NL.ECM.IND.BUY",'02_MASTER'!$E:$E,2024))</f>
        <v/>
      </c>
      <c r="C6" s="39" t="inlineStr">
        <is>
          <t>NL.ECM.IND.BUY</t>
        </is>
      </c>
    </row>
    <row r="7">
      <c r="A7" s="26" t="inlineStr">
        <is>
          <t>Denmark</t>
        </is>
      </c>
      <c r="B7" s="35">
        <f>IF(COUNTIFS('02_MASTER'!$B:$B,"DK.ECM.IND.BUY",'02_MASTER'!$E:$E,2024)=0,"",SUMIFS('02_MASTER'!$F:$F,'02_MASTER'!$B:$B,"DK.ECM.IND.BUY",'02_MASTER'!$E:$E,2024))</f>
        <v/>
      </c>
      <c r="C7" s="39" t="inlineStr">
        <is>
          <t>DK.ECM.IND.BUY</t>
        </is>
      </c>
    </row>
    <row r="8">
      <c r="A8" s="26" t="inlineStr">
        <is>
          <t>Germany</t>
        </is>
      </c>
      <c r="B8" s="35">
        <f>IF(COUNTIFS('02_MASTER'!$B:$B,"DE.ECM.IND.BUY",'02_MASTER'!$E:$E,2024)=0,"",SUMIFS('02_MASTER'!$F:$F,'02_MASTER'!$B:$B,"DE.ECM.IND.BUY",'02_MASTER'!$E:$E,2024))</f>
        <v/>
      </c>
      <c r="C8" s="39" t="inlineStr">
        <is>
          <t>DE.ECM.IND.BUY</t>
        </is>
      </c>
    </row>
    <row r="9">
      <c r="A9" s="26" t="inlineStr">
        <is>
          <t>EU-27 average</t>
        </is>
      </c>
      <c r="B9" s="35">
        <f>IF(COUNTIFS('02_MASTER'!$B:$B,"EU.ECM.IND.BUY",'02_MASTER'!$E:$E,2024)=0,"",SUMIFS('02_MASTER'!$F:$F,'02_MASTER'!$B:$B,"EU.ECM.IND.BUY",'02_MASTER'!$E:$E,2024))</f>
        <v/>
      </c>
      <c r="C9" s="39" t="inlineStr">
        <is>
          <t>EU.ECM.IND.BUY</t>
        </is>
      </c>
    </row>
    <row r="10">
      <c r="A10" s="26" t="inlineStr">
        <is>
          <t>Italy</t>
        </is>
      </c>
      <c r="B10" s="35">
        <f>IF(COUNTIFS('02_MASTER'!$B:$B,"IT.ECM.IND.BUY",'02_MASTER'!$E:$E,2024)=0,"",SUMIFS('02_MASTER'!$F:$F,'02_MASTER'!$B:$B,"IT.ECM.IND.BUY",'02_MASTER'!$E:$E,2024))</f>
        <v/>
      </c>
      <c r="C10" s="39" t="inlineStr">
        <is>
          <t>IT.ECM.IND.BUY</t>
        </is>
      </c>
    </row>
    <row r="11">
      <c r="A11" s="26" t="inlineStr">
        <is>
          <t>Romania</t>
        </is>
      </c>
      <c r="B11" s="35">
        <f>IF(COUNTIFS('02_MASTER'!$B:$B,"RO.ECM.IND.BUY",'02_MASTER'!$E:$E,2024)=0,"",SUMIFS('02_MASTER'!$F:$F,'02_MASTER'!$B:$B,"RO.ECM.IND.BUY",'02_MASTER'!$E:$E,2024))</f>
        <v/>
      </c>
      <c r="C11" s="39" t="inlineStr">
        <is>
          <t>RO.ECM.IND.BUY</t>
        </is>
      </c>
    </row>
    <row r="12">
      <c r="A12" s="26" t="inlineStr">
        <is>
          <t>Bulgaria</t>
        </is>
      </c>
      <c r="B12" s="35">
        <f>IF(COUNTIFS('02_MASTER'!$B:$B,"BG.ECM.IND.BUY",'02_MASTER'!$E:$E,2024)=0,"",SUMIFS('02_MASTER'!$F:$F,'02_MASTER'!$B:$B,"BG.ECM.IND.BUY",'02_MASTER'!$E:$E,2024))</f>
        <v/>
      </c>
      <c r="C12" s="39" t="inlineStr">
        <is>
          <t>BG.ECM.IND.BUY</t>
        </is>
      </c>
    </row>
    <row r="14">
      <c r="A14" s="34" t="inlineStr">
        <is>
          <t>Source: Eurostat (ES4). SCOPE LIMIT: 8 of 27 member states were verified, so this sheet presents a ranking and makes no regression claim. To extend it, add the remaining member states to dataset.py using the series_code pattern XX.ECM.IND.BUY and re-run the build; this sheet and its chart will expand automatically. Denominator is % of internet users, not % of individuals.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48"/>
  <sheetViews>
    <sheetView showGridLines="0" workbookViewId="0">
      <selection activeCell="A1" sqref="A1"/>
    </sheetView>
  </sheetViews>
  <sheetFormatPr baseColWidth="8" defaultRowHeight="15"/>
  <cols>
    <col width="20" customWidth="1" min="1" max="1"/>
    <col width="8" customWidth="1" min="2" max="2"/>
    <col width="74" customWidth="1" min="3" max="3"/>
    <col width="30" customWidth="1" min="4" max="4"/>
  </cols>
  <sheetData>
    <row r="1" ht="22" customHeight="1">
      <c r="A1" s="7" t="inlineStr">
        <is>
          <t>Figure 6 - Does more digital adoption mean more economic activity?</t>
        </is>
      </c>
    </row>
    <row r="2">
      <c r="A2" s="25" t="inlineStr">
        <is>
          <t>EU cross-section, 2024. X = consumer adoption. Y = share of enterprise turnover from e-sales.</t>
        </is>
      </c>
    </row>
    <row r="3">
      <c r="F3" s="32"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5" t="inlineStr">
        <is>
          <t>One point per country. Read the SELECTION WARNING below before quoting the fit.</t>
        </is>
      </c>
    </row>
    <row r="5">
      <c r="A5" s="26" t="inlineStr">
        <is>
          <t>Bulgaria</t>
        </is>
      </c>
      <c r="B5" s="39" t="inlineStr">
        <is>
          <t>BG</t>
        </is>
      </c>
      <c r="C5" s="38">
        <f>IF(COUNTIFS('02_MASTER'!$B:$B,"BG.ECM.IND.BUY",'02_MASTER'!$E:$E,2024)=0,"",SUMIFS('02_MASTER'!$F:$F,'02_MASTER'!$B:$B,"BG.ECM.IND.BUY",'02_MASTER'!$E:$E,2024))</f>
        <v/>
      </c>
      <c r="D5" s="38">
        <f>IF(COUNTIFS('02_MASTER'!$B:$B,"BG.ECM.ENT.TRN",'02_MASTER'!$E:$E,2024)=0,"",SUMIFS('02_MASTER'!$F:$F,'02_MASTER'!$B:$B,"BG.ECM.ENT.TRN",'02_MASTER'!$E:$E,2024))</f>
        <v/>
      </c>
    </row>
    <row r="6">
      <c r="A6" s="26" t="inlineStr">
        <is>
          <t>Germany</t>
        </is>
      </c>
      <c r="B6" s="39" t="inlineStr">
        <is>
          <t>DE</t>
        </is>
      </c>
      <c r="C6" s="38">
        <f>IF(COUNTIFS('02_MASTER'!$B:$B,"DE.ECM.IND.BUY",'02_MASTER'!$E:$E,2024)=0,"",SUMIFS('02_MASTER'!$F:$F,'02_MASTER'!$B:$B,"DE.ECM.IND.BUY",'02_MASTER'!$E:$E,2024))</f>
        <v/>
      </c>
      <c r="D6" s="38">
        <f>IF(COUNTIFS('02_MASTER'!$B:$B,"DE.ECM.ENT.TRN",'02_MASTER'!$E:$E,2024)=0,"",SUMIFS('02_MASTER'!$F:$F,'02_MASTER'!$B:$B,"DE.ECM.ENT.TRN",'02_MASTER'!$E:$E,2024))</f>
        <v/>
      </c>
    </row>
    <row r="7">
      <c r="A7" s="26" t="inlineStr">
        <is>
          <t>Denmark</t>
        </is>
      </c>
      <c r="B7" s="39" t="inlineStr">
        <is>
          <t>DK</t>
        </is>
      </c>
      <c r="C7" s="38">
        <f>IF(COUNTIFS('02_MASTER'!$B:$B,"DK.ECM.IND.BUY",'02_MASTER'!$E:$E,2024)=0,"",SUMIFS('02_MASTER'!$F:$F,'02_MASTER'!$B:$B,"DK.ECM.IND.BUY",'02_MASTER'!$E:$E,2024))</f>
        <v/>
      </c>
      <c r="D7" s="38">
        <f>IF(COUNTIFS('02_MASTER'!$B:$B,"DK.ECM.ENT.TRN",'02_MASTER'!$E:$E,2024)=0,"",SUMIFS('02_MASTER'!$F:$F,'02_MASTER'!$B:$B,"DK.ECM.ENT.TRN",'02_MASTER'!$E:$E,2024))</f>
        <v/>
      </c>
    </row>
    <row r="8">
      <c r="A8" s="26" t="inlineStr">
        <is>
          <t>Hungary</t>
        </is>
      </c>
      <c r="B8" s="39" t="inlineStr">
        <is>
          <t>HU</t>
        </is>
      </c>
      <c r="C8" s="38">
        <f>IF(COUNTIFS('02_MASTER'!$B:$B,"HU.ECM.IND.BUY",'02_MASTER'!$E:$E,2024)=0,"",SUMIFS('02_MASTER'!$F:$F,'02_MASTER'!$B:$B,"HU.ECM.IND.BUY",'02_MASTER'!$E:$E,2024))</f>
        <v/>
      </c>
      <c r="D8" s="38">
        <f>IF(COUNTIFS('02_MASTER'!$B:$B,"HU.ECM.ENT.TRN",'02_MASTER'!$E:$E,2024)=0,"",SUMIFS('02_MASTER'!$F:$F,'02_MASTER'!$B:$B,"HU.ECM.ENT.TRN",'02_MASTER'!$E:$E,2024))</f>
        <v/>
      </c>
    </row>
    <row r="9">
      <c r="A9" s="26" t="inlineStr">
        <is>
          <t>Ireland</t>
        </is>
      </c>
      <c r="B9" s="39" t="inlineStr">
        <is>
          <t>IE</t>
        </is>
      </c>
      <c r="C9" s="38">
        <f>IF(COUNTIFS('02_MASTER'!$B:$B,"IE.ECM.IND.BUY",'02_MASTER'!$E:$E,2024)=0,"",SUMIFS('02_MASTER'!$F:$F,'02_MASTER'!$B:$B,"IE.ECM.IND.BUY",'02_MASTER'!$E:$E,2024))</f>
        <v/>
      </c>
      <c r="D9" s="38">
        <f>IF(COUNTIFS('02_MASTER'!$B:$B,"IE.ECM.ENT.TRN",'02_MASTER'!$E:$E,2024)=0,"",SUMIFS('02_MASTER'!$F:$F,'02_MASTER'!$B:$B,"IE.ECM.ENT.TRN",'02_MASTER'!$E:$E,2024))</f>
        <v/>
      </c>
    </row>
    <row r="10">
      <c r="A10" s="26" t="inlineStr">
        <is>
          <t>Italy</t>
        </is>
      </c>
      <c r="B10" s="39" t="inlineStr">
        <is>
          <t>IT</t>
        </is>
      </c>
      <c r="C10" s="38">
        <f>IF(COUNTIFS('02_MASTER'!$B:$B,"IT.ECM.IND.BUY",'02_MASTER'!$E:$E,2024)=0,"",SUMIFS('02_MASTER'!$F:$F,'02_MASTER'!$B:$B,"IT.ECM.IND.BUY",'02_MASTER'!$E:$E,2024))</f>
        <v/>
      </c>
      <c r="D10" s="38">
        <f>IF(COUNTIFS('02_MASTER'!$B:$B,"IT.ECM.ENT.TRN",'02_MASTER'!$E:$E,2024)=0,"",SUMIFS('02_MASTER'!$F:$F,'02_MASTER'!$B:$B,"IT.ECM.ENT.TRN",'02_MASTER'!$E:$E,2024))</f>
        <v/>
      </c>
    </row>
    <row r="12">
      <c r="A12" s="3" t="inlineStr">
        <is>
          <t>FITTED LINE (ordinary least squares)</t>
        </is>
      </c>
    </row>
    <row r="13" ht="28" customHeight="1">
      <c r="A13" s="8" t="inlineStr">
        <is>
          <t>statistic</t>
        </is>
      </c>
      <c r="B13" s="8" t="inlineStr">
        <is>
          <t>value</t>
        </is>
      </c>
      <c r="C13" s="8" t="inlineStr">
        <is>
          <t>reading</t>
        </is>
      </c>
    </row>
    <row r="14" ht="26" customHeight="1">
      <c r="A14" s="26" t="inlineStr">
        <is>
          <t>n (countries)</t>
        </is>
      </c>
      <c r="B14" s="33">
        <f>COUNT($C$5:$C$10)</f>
        <v/>
      </c>
      <c r="C14" s="29" t="inlineStr">
        <is>
          <t>Number of complete X-Y pairs. Expands automatically as data is added.</t>
        </is>
      </c>
    </row>
    <row r="15" ht="26" customHeight="1">
      <c r="A15" s="26" t="inlineStr">
        <is>
          <t>Slope</t>
        </is>
      </c>
      <c r="B15" s="40">
        <f>SLOPE($D$5:$D$10,$C$5:$C$10)</f>
        <v/>
      </c>
      <c r="C15" s="29" t="inlineStr">
        <is>
          <t>Percentage points of enterprise turnover per percentage point of consumer adoption.</t>
        </is>
      </c>
    </row>
    <row r="16" ht="26" customHeight="1">
      <c r="A16" s="26" t="inlineStr">
        <is>
          <t>Intercept</t>
        </is>
      </c>
      <c r="B16" s="38">
        <f>INTERCEPT($D$5:$D$10,$C$5:$C$10)</f>
        <v/>
      </c>
      <c r="C16" s="29" t="inlineStr">
        <is>
          <t>Not interpretable - no country has zero adoption, so this is far outside the observed range.</t>
        </is>
      </c>
    </row>
    <row r="17" ht="26" customHeight="1">
      <c r="A17" s="26" t="inlineStr">
        <is>
          <t>Correlation (r)</t>
        </is>
      </c>
      <c r="B17" s="40">
        <f>CORREL($C$5:$C$10,$D$5:$D$10)</f>
        <v/>
      </c>
      <c r="C17" s="29" t="inlineStr">
        <is>
          <t>Strength and direction of the linear association.</t>
        </is>
      </c>
    </row>
    <row r="18" ht="26" customHeight="1">
      <c r="A18" s="26" t="inlineStr">
        <is>
          <t>R-squared</t>
        </is>
      </c>
      <c r="B18" s="40">
        <f>RSQ($D$5:$D$10,$C$5:$C$10)</f>
        <v/>
      </c>
      <c r="C18" s="29" t="inlineStr">
        <is>
          <t>Share of cross-country variation in Y that moves with X. READ THE SELECTION WARNING BELOW BEFORE QUOTING THIS NUMBER: it is inflated by how the sample was drawn and overstates the fit.</t>
        </is>
      </c>
    </row>
    <row r="19" ht="26" customHeight="1">
      <c r="A19" s="26" t="inlineStr">
        <is>
          <t>Denmark: actual Y</t>
        </is>
      </c>
      <c r="B19" s="38">
        <f>IF(COUNTIFS('02_MASTER'!$B:$B,"DK.ECM.ENT.TRN",'02_MASTER'!$E:$E,2024)=0,"",SUMIFS('02_MASTER'!$F:$F,'02_MASTER'!$B:$B,"DK.ECM.ENT.TRN",'02_MASTER'!$E:$E,2024))</f>
        <v/>
      </c>
      <c r="C19" s="29" t="inlineStr">
        <is>
          <t>Denmark's observed value.</t>
        </is>
      </c>
    </row>
    <row r="20" ht="26" customHeight="1">
      <c r="A20" s="26" t="inlineStr">
        <is>
          <t>Denmark: fitted Y</t>
        </is>
      </c>
      <c r="B20" s="38">
        <f>INTERCEPT($D$5:$D$10,$C$5:$C$10)+SLOPE($D$5:$D$10,$C$5:$C$10)*IF(COUNTIFS('02_MASTER'!$B:$B,"DK.ECM.IND.BUY",'02_MASTER'!$E:$E,2024)=0,"",SUMIFS('02_MASTER'!$F:$F,'02_MASTER'!$B:$B,"DK.ECM.IND.BUY",'02_MASTER'!$E:$E,2024))</f>
        <v/>
      </c>
      <c r="C20" s="29" t="inlineStr">
        <is>
          <t>What the line predicts for Denmark's adoption level.</t>
        </is>
      </c>
    </row>
    <row r="21" ht="26" customHeight="1">
      <c r="A21" s="26" t="inlineStr">
        <is>
          <t>Denmark: residual</t>
        </is>
      </c>
      <c r="B21" s="41">
        <f>IF(COUNTIFS('02_MASTER'!$B:$B,"DK.ECM.ENT.TRN",'02_MASTER'!$E:$E,2024)=0,"",SUMIFS('02_MASTER'!$F:$F,'02_MASTER'!$B:$B,"DK.ECM.ENT.TRN",'02_MASTER'!$E:$E,2024))-(INTERCEPT($D$5:$D$10,$C$5:$C$10)+SLOPE($D$5:$D$10,$C$5:$C$10)*IF(COUNTIFS('02_MASTER'!$B:$B,"DK.ECM.IND.BUY",'02_MASTER'!$E:$E,2024)=0,"",SUMIFS('02_MASTER'!$F:$F,'02_MASTER'!$B:$B,"DK.ECM.IND.BUY",'02_MASTER'!$E:$E,2024)))</f>
        <v/>
      </c>
      <c r="C21" s="29" t="inlineStr">
        <is>
          <t>Positive: Denmark converts adoption into commercial activity better than the EU pattern predicts. Negative: worse.</t>
        </is>
      </c>
    </row>
    <row r="23">
      <c r="A23" s="3" t="inlineStr">
        <is>
          <t>SELECTION WARNING - read before quoting the fit</t>
        </is>
      </c>
    </row>
    <row r="24" ht="46" customHeight="1">
      <c r="A24" s="42" t="inlineStr">
        <is>
          <t>HOW THE SAMPLE WAS DRAWN: the X column (consumer adoption) was not available as a complete Eurostat table in this session. The values come from a Eurostat press release, which names the three highest countries, the three lowest, and three large movers - a sample concentrated in the TAILS of the adoption distribution.</t>
        </is>
      </c>
      <c r="B24" s="43" t="n"/>
      <c r="C24" s="43" t="n"/>
      <c r="D24" s="43" t="n"/>
    </row>
    <row r="25" ht="46" customHeight="1">
      <c r="A25" s="42" t="inlineStr">
        <is>
          <t>CONSEQUENCE: of the 6 countries plotted, 5 come from the top or bottom of the EU ranking. Selecting on the extremes of X and dropping the middle inflates the correlation coefficient and R-squared by construction, because it widens the spread in X relative to the scatter around the line.</t>
        </is>
      </c>
      <c r="B25" s="43" t="n"/>
      <c r="C25" s="43" t="n"/>
      <c r="D25" s="43" t="n"/>
    </row>
    <row r="26" ht="46" customHeight="1">
      <c r="A26" s="42" t="inlineStr">
        <is>
          <t>HOW TO USE THIS FIGURE HONESTLY: report the SLOPE, which is far less sensitive to this kind of selection, and report n. Treat the R-squared as an upper bound. Do not describe the fit as 'strong' or 'tight', and do not compute a p-value or confidence interval from these points.</t>
        </is>
      </c>
      <c r="B26" s="43" t="n"/>
      <c r="C26" s="43" t="n"/>
      <c r="D26" s="43" t="n"/>
    </row>
    <row r="27" ht="46" customHeight="1">
      <c r="A27" s="42" t="inlineStr">
        <is>
          <t>HOW TO FIX IT: retrieve Eurostat isoc_ec_ib20 for 2024 for all 27 member states from the databrowser and add the rows to dataset.py. That removes the selection entirely and roughly triples n. The register below names every country still missing and the exact series code for each.</t>
        </is>
      </c>
      <c r="B27" s="43" t="n"/>
      <c r="C27" s="43" t="n"/>
      <c r="D27" s="43" t="n"/>
    </row>
    <row r="28" ht="46" customHeight="1">
      <c r="A28" s="42"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28" s="43" t="n"/>
      <c r="C28" s="43" t="n"/>
      <c r="D28" s="43" t="n"/>
    </row>
    <row r="30">
      <c r="A30" s="3" t="inlineStr">
        <is>
          <t>AWAITING DATA - not plotted</t>
        </is>
      </c>
    </row>
    <row r="31" ht="28" customHeight="1">
      <c r="A31" s="8" t="inlineStr">
        <is>
          <t>country</t>
        </is>
      </c>
      <c r="B31" s="8" t="inlineStr">
        <is>
          <t>code</t>
        </is>
      </c>
      <c r="C31" s="8" t="inlineStr">
        <is>
          <t>missing</t>
        </is>
      </c>
    </row>
    <row r="32">
      <c r="A32" s="26" t="inlineStr">
        <is>
          <t>Austria</t>
        </is>
      </c>
      <c r="B32" s="39" t="inlineStr">
        <is>
          <t>AT</t>
        </is>
      </c>
      <c r="C32" s="44" t="inlineStr">
        <is>
          <t>X - add AT.ECM.IND.BUY for 2024 (Eurostat isoc_ec_ib20)</t>
        </is>
      </c>
    </row>
    <row r="33">
      <c r="A33" s="26" t="inlineStr">
        <is>
          <t>Belgium</t>
        </is>
      </c>
      <c r="B33" s="39" t="inlineStr">
        <is>
          <t>BE</t>
        </is>
      </c>
      <c r="C33" s="44" t="inlineStr">
        <is>
          <t>X - add BE.ECM.IND.BUY for 2024 (Eurostat isoc_ec_ib20)</t>
        </is>
      </c>
    </row>
    <row r="34">
      <c r="A34" s="26" t="inlineStr">
        <is>
          <t>Cyprus</t>
        </is>
      </c>
      <c r="B34" s="39" t="inlineStr">
        <is>
          <t>CY</t>
        </is>
      </c>
      <c r="C34" s="44" t="inlineStr">
        <is>
          <t>X - add CY.ECM.IND.BUY for 2024 (Eurostat isoc_ec_ib20)</t>
        </is>
      </c>
    </row>
    <row r="35">
      <c r="A35" s="26" t="inlineStr">
        <is>
          <t>Czechia</t>
        </is>
      </c>
      <c r="B35" s="39" t="inlineStr">
        <is>
          <t>CZ</t>
        </is>
      </c>
      <c r="C35" s="44" t="inlineStr">
        <is>
          <t>X - add CZ.ECM.IND.BUY for 2024 (Eurostat isoc_ec_ib20)</t>
        </is>
      </c>
    </row>
    <row r="36">
      <c r="A36" s="26" t="inlineStr">
        <is>
          <t>Spain</t>
        </is>
      </c>
      <c r="B36" s="39" t="inlineStr">
        <is>
          <t>ES</t>
        </is>
      </c>
      <c r="C36" s="44" t="inlineStr">
        <is>
          <t>X - add ES.ECM.IND.BUY for 2024 (Eurostat isoc_ec_ib20)</t>
        </is>
      </c>
    </row>
    <row r="37">
      <c r="A37" s="26" t="inlineStr">
        <is>
          <t>France</t>
        </is>
      </c>
      <c r="B37" s="39" t="inlineStr">
        <is>
          <t>FR</t>
        </is>
      </c>
      <c r="C37" s="44" t="inlineStr">
        <is>
          <t>X - add FR.ECM.IND.BUY for 2024 (Eurostat isoc_ec_ib20)</t>
        </is>
      </c>
    </row>
    <row r="38">
      <c r="A38" s="26" t="inlineStr">
        <is>
          <t>Croatia</t>
        </is>
      </c>
      <c r="B38" s="39" t="inlineStr">
        <is>
          <t>HR</t>
        </is>
      </c>
      <c r="C38" s="44" t="inlineStr">
        <is>
          <t>X - add HR.ECM.IND.BUY for 2024 (Eurostat isoc_ec_ib20)</t>
        </is>
      </c>
    </row>
    <row r="39">
      <c r="A39" s="26" t="inlineStr">
        <is>
          <t>Luxembourg</t>
        </is>
      </c>
      <c r="B39" s="39" t="inlineStr">
        <is>
          <t>LU</t>
        </is>
      </c>
      <c r="C39" s="44" t="inlineStr">
        <is>
          <t>X - add LU.ECM.IND.BUY for 2024 (Eurostat isoc_ec_ib20)</t>
        </is>
      </c>
    </row>
    <row r="40">
      <c r="A40" s="26" t="inlineStr">
        <is>
          <t>Malta</t>
        </is>
      </c>
      <c r="B40" s="39" t="inlineStr">
        <is>
          <t>MT</t>
        </is>
      </c>
      <c r="C40" s="44" t="inlineStr">
        <is>
          <t>X - add MT.ECM.IND.BUY for 2024 (Eurostat isoc_ec_ib20)</t>
        </is>
      </c>
    </row>
    <row r="41">
      <c r="A41" s="26" t="inlineStr">
        <is>
          <t>Poland</t>
        </is>
      </c>
      <c r="B41" s="39" t="inlineStr">
        <is>
          <t>PL</t>
        </is>
      </c>
      <c r="C41" s="44" t="inlineStr">
        <is>
          <t>X - add PL.ECM.IND.BUY for 2024 (Eurostat isoc_ec_ib20)</t>
        </is>
      </c>
    </row>
    <row r="42">
      <c r="A42" s="26" t="inlineStr">
        <is>
          <t>Sweden</t>
        </is>
      </c>
      <c r="B42" s="39" t="inlineStr">
        <is>
          <t>SE</t>
        </is>
      </c>
      <c r="C42" s="44" t="inlineStr">
        <is>
          <t>X - add SE.ECM.IND.BUY for 2024 (Eurostat isoc_ec_ib20)</t>
        </is>
      </c>
    </row>
    <row r="43">
      <c r="A43" s="26" t="inlineStr">
        <is>
          <t>Slovenia</t>
        </is>
      </c>
      <c r="B43" s="39" t="inlineStr">
        <is>
          <t>SI</t>
        </is>
      </c>
      <c r="C43" s="44" t="inlineStr">
        <is>
          <t>X - add SI.ECM.IND.BUY for 2024 (Eurostat isoc_ec_ib20)</t>
        </is>
      </c>
    </row>
    <row r="44">
      <c r="A44" s="26" t="inlineStr">
        <is>
          <t>Lithuania</t>
        </is>
      </c>
      <c r="B44" s="39" t="inlineStr">
        <is>
          <t>LT</t>
        </is>
      </c>
      <c r="C44" s="44" t="inlineStr">
        <is>
          <t>Y - add LT.ECM.ENT.TRN for 2024 (Eurostat tin00110)</t>
        </is>
      </c>
    </row>
    <row r="45">
      <c r="A45" s="26" t="inlineStr">
        <is>
          <t>Netherlands</t>
        </is>
      </c>
      <c r="B45" s="39" t="inlineStr">
        <is>
          <t>NL</t>
        </is>
      </c>
      <c r="C45" s="44" t="inlineStr">
        <is>
          <t>Y - add NL.ECM.ENT.TRN for 2024 (Eurostat tin00110)</t>
        </is>
      </c>
    </row>
    <row r="46">
      <c r="A46" s="26" t="inlineStr">
        <is>
          <t>Romania</t>
        </is>
      </c>
      <c r="B46" s="39" t="inlineStr">
        <is>
          <t>RO</t>
        </is>
      </c>
      <c r="C46" s="44" t="inlineStr">
        <is>
          <t>Y - add RO.ECM.ENT.TRN for 2024 (Eurostat tin00110)</t>
        </is>
      </c>
    </row>
    <row r="48">
      <c r="A48" s="34" t="inlineStr">
        <is>
          <t>Sources: Eurostat isoc_ec_ib20 (ES4)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n=6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27:D27"/>
    <mergeCell ref="A26:D26"/>
    <mergeCell ref="A25:D25"/>
    <mergeCell ref="A24:D24"/>
    <mergeCell ref="A28:D2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5" t="inlineStr">
        <is>
          <t>Leads on every capability measure. Below average on citizen service quality.</t>
        </is>
      </c>
    </row>
    <row r="3">
      <c r="F3" s="32" t="inlineStr">
        <is>
          <t>Denmark vs EU-27 average</t>
        </is>
      </c>
    </row>
    <row r="4" ht="28" customHeight="1">
      <c r="A4" s="8" t="inlineStr">
        <is>
          <t>indicator</t>
        </is>
      </c>
      <c r="B4" s="8" t="inlineStr">
        <is>
          <t>Denmark</t>
        </is>
      </c>
      <c r="C4" s="8" t="inlineStr">
        <is>
          <t>EU-27</t>
        </is>
      </c>
      <c r="D4" s="8" t="inlineStr">
        <is>
          <t>unit</t>
        </is>
      </c>
      <c r="F4" s="25" t="inlineStr">
        <is>
          <t>Denmark in blue, EU average in grey. Note the direction reverses on the bottom two rows.</t>
        </is>
      </c>
    </row>
    <row r="5">
      <c r="A5" s="26" t="inlineStr">
        <is>
          <t>SMEs with at least basic digital intensity</t>
        </is>
      </c>
      <c r="B5" s="38">
        <f>IF(COUNTIFS('02_MASTER'!$B:$B,"DK.ENT.DII",'02_MASTER'!$E:$E,2025)=0,"",SUMIFS('02_MASTER'!$F:$F,'02_MASTER'!$B:$B,"DK.ENT.DII",'02_MASTER'!$E:$E,2025))</f>
        <v/>
      </c>
      <c r="C5" s="38">
        <f>IF(COUNTIFS('02_MASTER'!$B:$B,"EU.ENT.DII",'02_MASTER'!$E:$E,2025)=0,"",SUMIFS('02_MASTER'!$F:$F,'02_MASTER'!$B:$B,"EU.ENT.DII",'02_MASTER'!$E:$E,2025))</f>
        <v/>
      </c>
      <c r="D5" s="28" t="inlineStr">
        <is>
          <t>% of SMEs</t>
        </is>
      </c>
    </row>
    <row r="6">
      <c r="A6" s="26" t="inlineStr">
        <is>
          <t>Enterprises adopting AI</t>
        </is>
      </c>
      <c r="B6" s="38">
        <f>IF(COUNTIFS('02_MASTER'!$B:$B,"DK.ENT.AI",'02_MASTER'!$E:$E,2025)=0,"",SUMIFS('02_MASTER'!$F:$F,'02_MASTER'!$B:$B,"DK.ENT.AI",'02_MASTER'!$E:$E,2025))</f>
        <v/>
      </c>
      <c r="C6" s="43" t="n"/>
      <c r="D6" s="28" t="inlineStr">
        <is>
          <t>% of enterprises (EU avg 19.95)</t>
        </is>
      </c>
    </row>
    <row r="7">
      <c r="A7" s="26" t="inlineStr">
        <is>
          <t>Digital public services for citizens</t>
        </is>
      </c>
      <c r="B7" s="38">
        <f>IF(COUNTIFS('02_MASTER'!$B:$B,"DK.GOV.DPS.CIT",'02_MASTER'!$E:$E,2025)=0,"",SUMIFS('02_MASTER'!$F:$F,'02_MASTER'!$B:$B,"DK.GOV.DPS.CIT",'02_MASTER'!$E:$E,2025))</f>
        <v/>
      </c>
      <c r="C7" s="38">
        <f>IF(COUNTIFS('02_MASTER'!$B:$B,"EU.GOV.DPS.CIT",'02_MASTER'!$E:$E,2025)=0,"",SUMIFS('02_MASTER'!$F:$F,'02_MASTER'!$B:$B,"EU.GOV.DPS.CIT",'02_MASTER'!$E:$E,2025))</f>
        <v/>
      </c>
      <c r="D7" s="28" t="inlineStr">
        <is>
          <t>eGovernment Benchmark score 0-100</t>
        </is>
      </c>
    </row>
    <row r="8">
      <c r="A8" s="26" t="inlineStr">
        <is>
          <t>Cross-border digital public services</t>
        </is>
      </c>
      <c r="B8" s="38">
        <f>IF(COUNTIFS('02_MASTER'!$B:$B,"DK.GOV.DPS.XB",'02_MASTER'!$E:$E,2025)=0,"",SUMIFS('02_MASTER'!$F:$F,'02_MASTER'!$B:$B,"DK.GOV.DPS.XB",'02_MASTER'!$E:$E,2025))</f>
        <v/>
      </c>
      <c r="C8" s="43" t="n"/>
      <c r="D8" s="28"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6" t="inlineStr">
        <is>
          <t>Digital public services, DK minus EU average</t>
        </is>
      </c>
      <c r="B12" s="38">
        <f>IF(COUNTIFS('02_MASTER'!$B:$B,"DK.GOV.DPS.CIT",'02_MASTER'!$E:$E,2025)=0,"",SUMIFS('02_MASTER'!$F:$F,'02_MASTER'!$B:$B,"DK.GOV.DPS.CIT",'02_MASTER'!$E:$E,2025))-IF(COUNTIFS('02_MASTER'!$B:$B,"EU.GOV.DPS.CIT",'02_MASTER'!$E:$E,2025)=0,"",SUMIFS('02_MASTER'!$F:$F,'02_MASTER'!$B:$B,"EU.GOV.DPS.CIT",'02_MASTER'!$E:$E,2025))</f>
        <v/>
      </c>
      <c r="C12" s="29" t="inlineStr">
        <is>
          <t>Negative. The most digitalised population in the EU receives below-average digital public services.</t>
        </is>
      </c>
    </row>
    <row r="13" ht="44" customHeight="1">
      <c r="A13" s="26" t="inlineStr">
        <is>
          <t>Digital skills gap within Denmark, 16-24 minus 55-74</t>
        </is>
      </c>
      <c r="B13" s="38">
        <f>IF(COUNTIFS('02_MASTER'!$B:$B,"DK.SKL.1624",'02_MASTER'!$E:$E,2025)=0,"",SUMIFS('02_MASTER'!$F:$F,'02_MASTER'!$B:$B,"DK.SKL.1624",'02_MASTER'!$E:$E,2025))-IF(COUNTIFS('02_MASTER'!$B:$B,"DK.SKL.5574",'02_MASTER'!$E:$E,2025)=0,"",SUMIFS('02_MASTER'!$F:$F,'02_MASTER'!$B:$B,"DK.SKL.5574",'02_MASTER'!$E:$E,2025))</f>
        <v/>
      </c>
      <c r="C13" s="29"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6" t="inlineStr">
        <is>
          <t>AI adoption gap within Denmark, large firms minus SMEs</t>
        </is>
      </c>
      <c r="B14" s="38">
        <f>IF(COUNTIFS('02_MASTER'!$B:$B,"DK.ENT.AI.LRG",'02_MASTER'!$E:$E,2025)=0,"",SUMIFS('02_MASTER'!$F:$F,'02_MASTER'!$B:$B,"DK.ENT.AI.LRG",'02_MASTER'!$E:$E,2025))-IF(COUNTIFS('02_MASTER'!$B:$B,"DK.ENT.AI.SME",'02_MASTER'!$E:$E,2025)=0,"",SUMIFS('02_MASTER'!$F:$F,'02_MASTER'!$B:$B,"DK.ENT.AI.SME",'02_MASTER'!$E:$E,2025))</f>
        <v/>
      </c>
      <c r="C14" s="29" t="inlineStr">
        <is>
          <t>Breadth without depth, restated for AI.</t>
        </is>
      </c>
    </row>
    <row r="16">
      <c r="A16"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the one policy with a control group</t>
        </is>
      </c>
    </row>
    <row r="2">
      <c r="A2" s="25" t="inlineStr">
        <is>
          <t>Danmarks Statistik matched-comparison evaluation, June 2025.</t>
        </is>
      </c>
    </row>
    <row r="3">
      <c r="E3" s="32" t="inlineStr">
        <is>
          <t>SMV:Digital participant outcomes</t>
        </is>
      </c>
    </row>
    <row r="4" ht="28" customHeight="1">
      <c r="A4" s="8" t="inlineStr">
        <is>
          <t>measure</t>
        </is>
      </c>
      <c r="B4" s="8" t="inlineStr">
        <is>
          <t>value</t>
        </is>
      </c>
      <c r="C4" s="8" t="inlineStr">
        <is>
          <t>unit</t>
        </is>
      </c>
      <c r="E4" s="25" t="inlineStr">
        <is>
          <t>Participation measures only. No effect size is plotted because none was verified.</t>
        </is>
      </c>
    </row>
    <row r="5">
      <c r="A5" s="26" t="inlineStr">
        <is>
          <t>Digitalisation projects supported since 2018</t>
        </is>
      </c>
      <c r="B5" s="33">
        <f>IF(COUNTIFS('02_MASTER'!$B:$B,"DK.SME.SMVD.PROJ",'02_MASTER'!$E:$E,2025)=0,"",SUMIFS('02_MASTER'!$F:$F,'02_MASTER'!$B:$B,"DK.SME.SMVD.PROJ",'02_MASTER'!$E:$E,2025))</f>
        <v/>
      </c>
      <c r="C5" s="28" t="inlineStr">
        <is>
          <t>count</t>
        </is>
      </c>
    </row>
    <row r="6">
      <c r="A6" s="26" t="inlineStr">
        <is>
          <t>Participants investing further during the project</t>
        </is>
      </c>
      <c r="B6" s="35">
        <f>IF(COUNTIFS('02_MASTER'!$B:$B,"DK.SME.SMVD.INV",'02_MASTER'!$E:$E,2025)=0,"",SUMIFS('02_MASTER'!$F:$F,'02_MASTER'!$B:$B,"DK.SME.SMVD.INV",'02_MASTER'!$E:$E,2025))</f>
        <v/>
      </c>
      <c r="C6" s="28" t="inlineStr">
        <is>
          <t>% of participants</t>
        </is>
      </c>
    </row>
    <row r="7">
      <c r="A7" s="26" t="inlineStr">
        <is>
          <t>Participants with no further investment plans</t>
        </is>
      </c>
      <c r="B7" s="35">
        <f>IF(COUNTIFS('02_MASTER'!$B:$B,"DK.SME.SMVD.NOINV",'02_MASTER'!$E:$E,2025)=0,"",SUMIFS('02_MASTER'!$F:$F,'02_MASTER'!$B:$B,"DK.SME.SMVD.NOINV",'02_MASTER'!$E:$E,2025))</f>
        <v/>
      </c>
      <c r="C7" s="28" t="inlineStr">
        <is>
          <t>% of participants</t>
        </is>
      </c>
    </row>
    <row r="9">
      <c r="A9" s="3" t="inlineStr">
        <is>
          <t>WHY THIS IS THE STRONGEST EVIDENCE IN THE WORKBOOK</t>
        </is>
      </c>
    </row>
    <row r="10" ht="34" customHeight="1">
      <c r="A10" s="34" t="inlineStr">
        <is>
          <t>The evaluation was carried out by Danmarks Statistik, which compared participating firms against comparable firms that did not participate. Participants showed higher revenue AND higher employment.</t>
        </is>
      </c>
    </row>
    <row r="11" ht="34" customHeight="1">
      <c r="A11" s="34" t="inlineStr">
        <is>
          <t>That is a comparison group. Nothing else in this workbook has one. Figure 6's cross-section can show that adoption and commercial activity move together across countries; it cannot rule out that richer countries simply do more of both. A matched comparison can.</t>
        </is>
      </c>
    </row>
    <row r="12" ht="34" customHeight="1">
      <c r="A12" s="34" t="inlineStr">
        <is>
          <t>LIMIT: the effect sizes are not reproduced here because they were not verified against the evaluation itself. The direction of the finding is sourced; the magnitude is not, and must not be invented.</t>
        </is>
      </c>
    </row>
    <row r="13" ht="34" customHeight="1">
      <c r="A13" s="34" t="inlineStr">
        <is>
          <t>LIMIT: participation is voluntary, so selection into the programme by more capable or more ambitious firms is not excluded by matching alone.</t>
        </is>
      </c>
    </row>
    <row r="15">
      <c r="A15" s="3" t="inlineStr">
        <is>
          <t>POLICY EVENTS ON THIS SERIES</t>
        </is>
      </c>
    </row>
    <row r="16" ht="28" customHeight="1">
      <c r="A16" s="8" t="inlineStr">
        <is>
          <t>date</t>
        </is>
      </c>
      <c r="B16" s="8" t="inlineStr">
        <is>
          <t>precision</t>
        </is>
      </c>
      <c r="C16" s="8" t="inlineStr">
        <is>
          <t>instrument</t>
        </is>
      </c>
      <c r="D16" s="8" t="inlineStr">
        <is>
          <t>citation</t>
        </is>
      </c>
      <c r="E16" s="8" t="inlineStr">
        <is>
          <t>source</t>
        </is>
      </c>
    </row>
    <row r="17">
      <c r="A17" s="23" t="inlineStr">
        <is>
          <t>2018-01-01</t>
        </is>
      </c>
      <c r="B17" s="15" t="inlineStr">
        <is>
          <t>year</t>
        </is>
      </c>
      <c r="C17" s="15" t="inlineStr">
        <is>
          <t>SMV:Digital launched</t>
        </is>
      </c>
      <c r="D17" s="15" t="inlineStr">
        <is>
          <t>Danish digital growth plan for SMEs</t>
        </is>
      </c>
      <c r="E17" s="23" t="inlineStr">
        <is>
          <t>DG3</t>
        </is>
      </c>
    </row>
    <row r="18">
      <c r="A18" s="23" t="inlineStr">
        <is>
          <t>2026-01-01</t>
        </is>
      </c>
      <c r="B18" s="15" t="inlineStr">
        <is>
          <t>year</t>
        </is>
      </c>
      <c r="C18" s="15" t="inlineStr">
        <is>
          <t>SMV:Digital grant pools continue</t>
        </is>
      </c>
      <c r="D18" s="15" t="inlineStr">
        <is>
          <t>Tilskudspuljer i 2026</t>
        </is>
      </c>
      <c r="E18" s="23" t="inlineStr">
        <is>
          <t>SMV1</t>
        </is>
      </c>
    </row>
    <row r="20">
      <c r="A20" s="34" t="inlineStr">
        <is>
          <t>Source: Effektmaaling af SMV:Digital, Danmarks Statistik for the Agency for Digital Government, June 2025 (DG3); scheme status from SMV:Digital's 2026 grant-pool page (SMV1).</t>
        </is>
      </c>
    </row>
  </sheetData>
  <mergeCells count="4">
    <mergeCell ref="A10:C10"/>
    <mergeCell ref="A13:C13"/>
    <mergeCell ref="A11:C11"/>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5"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ss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5"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1"/>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5" t="inlineStr">
        <is>
          <t>Read before citing any value.</t>
        </is>
      </c>
    </row>
    <row r="4" ht="62" customHeight="1">
      <c r="A4" s="3" t="inlineStr">
        <is>
          <t>No inferential statistics</t>
        </is>
      </c>
      <c r="B4"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5" ht="62" customHeight="1">
      <c r="A5" s="3" t="inlineStr">
        <is>
          <t>Figure 6 sample is selected on the tails</t>
        </is>
      </c>
      <c r="B5" s="20" t="inlineStr">
        <is>
          <t>The adoption column in Figure 6 was assembled from a Eurostat press release naming the highest three countries, the lowest three, and three large movers. Most of the plotted points therefore come from the ends of the EU distribution. Selecting on the extremes of X inflates the correlation coefficient and R-squared regardless of the underlying relationship. The R-squared is an upper bound, not an estimate; the slope is the statistic to quote, alongside n. The chart deliberately does not display R-squared on its face. Fixing this requires the full 27-country isoc_ec_ib20 column.</t>
        </is>
      </c>
    </row>
    <row r="6" ht="62" customHeight="1">
      <c r="A6" s="3" t="inlineStr">
        <is>
          <t>No price deflator on the turnover series</t>
        </is>
      </c>
      <c r="B6"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7" ht="62" customHeight="1">
      <c r="A7" s="3" t="inlineStr">
        <is>
          <t>Banking series use different base years</t>
        </is>
      </c>
      <c r="B7" s="20" t="inlineStr">
        <is>
          <t>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8" ht="62" customHeight="1">
      <c r="A8" s="3" t="inlineStr">
        <is>
          <t>No sampling error is reported anywhere</t>
        </is>
      </c>
      <c r="B8"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9" ht="62" customHeight="1">
      <c r="A9" s="3" t="inlineStr">
        <is>
          <t>Headcount conversions rest on an implied denominator</t>
        </is>
      </c>
      <c r="B9"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0" ht="62" customHeight="1">
      <c r="A10" s="3" t="inlineStr">
        <is>
          <t>A withdrawn claim about SMV:Digital</t>
        </is>
      </c>
      <c r="B10"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1" ht="62" customHeight="1">
      <c r="A11" s="3" t="inlineStr">
        <is>
          <t>Unbalanced panel</t>
        </is>
      </c>
      <c r="B11" s="20" t="inlineStr">
        <is>
          <t>Observation years differ by series because the underlying sources publish on different cycles - payment habits roughly biennially, Eurostat annually, branch counts irregularly. Gaps are genuine and are not filled.</t>
        </is>
      </c>
    </row>
    <row r="12" ht="62" customHeight="1">
      <c r="A12" s="3" t="inlineStr">
        <is>
          <t>Denominator break</t>
        </is>
      </c>
      <c r="B12" s="20" t="inlineStr">
        <is>
          <t>Danish online-purchasing figures change base between 2019 (% of individuals) and 2020 onward (% of internet users). The 2019 observation carries flag 'b' and is never plotted with later years.</t>
        </is>
      </c>
    </row>
    <row r="13" ht="62" customHeight="1">
      <c r="A13" s="3" t="inlineStr">
        <is>
          <t>Verbal quantities</t>
        </is>
      </c>
      <c r="B13" s="20" t="inlineStr">
        <is>
          <t>Values flagged 'e' were published as words, not figures - 'nearly one in five', 'just under 36,000'. They are recorded as the stated approximation with the original wording in the notes column.</t>
        </is>
      </c>
    </row>
    <row r="14" ht="62" customHeight="1">
      <c r="A14" s="3" t="inlineStr">
        <is>
          <t>Confounded outcome</t>
        </is>
      </c>
      <c r="B14" s="20" t="inlineStr">
        <is>
          <t>Branch closures reflect both digitalisation and sectoral consolidation (219 institutions in 1991, 51 in 2024). The branch series alone cannot separate these, and the report should not claim that it does.</t>
        </is>
      </c>
    </row>
    <row r="15" ht="62" customHeight="1">
      <c r="A15" s="3" t="inlineStr">
        <is>
          <t>Definitional spread in exclusion measures</t>
        </is>
      </c>
      <c r="B15" s="20" t="inlineStr">
        <is>
          <t>The five exclusion measures range from 4.7% to 25% because they define the population differently. They are not competing estimates of one quantity and must not be averaged or presented as a range.</t>
        </is>
      </c>
    </row>
    <row r="16" ht="62" customHeight="1">
      <c r="A16" s="3" t="inlineStr">
        <is>
          <t>Cross-section incomplete</t>
        </is>
      </c>
      <c r="B16" s="20" t="inlineStr">
        <is>
          <t>F5 covers 8 of 27 member states. It supports a ranking, not a regression.</t>
        </is>
      </c>
    </row>
    <row r="17" ht="62" customHeight="1">
      <c r="A17" s="3" t="inlineStr">
        <is>
          <t>Figure 6 sample size</t>
        </is>
      </c>
      <c r="B17" s="20" t="inlineStr">
        <is>
          <t>The adoption-to-outcome scatter rests on 6 complete country pairs. The association is strong and positive, but 6 points cannot support a p-value, a confidence interval, or a claim about causal direction. Report the slope and R-squared descriptively and say n explicitly. Adding the missing values listed on that sheet raises n automatically.</t>
        </is>
      </c>
    </row>
    <row r="18" ht="62" customHeight="1">
      <c r="A18" s="3" t="inlineStr">
        <is>
          <t>Figure 6 measures two sides of the market</t>
        </is>
      </c>
      <c r="B18"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19" ht="62" customHeight="1">
      <c r="A19" s="3" t="inlineStr">
        <is>
          <t>Mirror-sourced column</t>
        </is>
      </c>
      <c r="B19"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0" ht="62" customHeight="1">
      <c r="A20" s="3" t="inlineStr">
        <is>
          <t>Search-based verification</t>
        </is>
      </c>
      <c r="B20"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1" ht="62" customHeight="1">
      <c r="A21" s="3" t="inlineStr">
        <is>
          <t>Discarded material</t>
        </is>
      </c>
      <c r="B21"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5"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t>
        </is>
      </c>
    </row>
    <row r="10" ht="52" customHeight="1">
      <c r="A10" s="15" t="inlineStr">
        <is>
          <t>Workbook construction</t>
        </is>
      </c>
      <c r="B10" s="15" t="inlineStr">
        <is>
          <t>AI wrote the Python build script that generates this workbook.</t>
        </is>
      </c>
      <c r="C10" s="15" t="inlineStr">
        <is>
          <t>Structural assertions run at build time: source_ids resolve, units and denominators present, no duplicate observations, break flags set.</t>
        </is>
      </c>
      <c r="D10" s="15" t="inlineStr">
        <is>
          <t>build_workbook.py, re-runnable.</t>
        </is>
      </c>
    </row>
    <row r="11" ht="52" customHeight="1">
      <c r="A11" s="15" t="inlineStr">
        <is>
          <t>Analytical framing</t>
        </is>
      </c>
      <c r="B11" s="15" t="inlineStr">
        <is>
          <t>AI used to interpret patterns and suggest framings.</t>
        </is>
      </c>
      <c r="C11" s="15" t="inlineStr">
        <is>
          <t>Author reviewed each interpretation against the underlying values.</t>
        </is>
      </c>
      <c r="D11" s="15" t="inlineStr">
        <is>
          <t>Interpretations appear in the report, attributed to the author.</t>
        </is>
      </c>
    </row>
    <row r="12" ht="52" customHeight="1">
      <c r="A12" s="15" t="inlineStr">
        <is>
          <t>Not delegated to AI</t>
        </is>
      </c>
      <c r="B12" s="15" t="inlineStr">
        <is>
          <t>Selection of the research question, country, industries, SDG and policy comparator; the argument; the conclusions.</t>
        </is>
      </c>
      <c r="C12" s="15" t="inlineStr">
        <is>
          <t>n/a</t>
        </is>
      </c>
      <c r="D12" s="15" t="inlineStr">
        <is>
          <t>Author's own work.</t>
        </is>
      </c>
    </row>
    <row r="14">
      <c r="A14"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92 verified observations.</dc:description>
  <dc:subject>ECON1596/ECON1597 Digital Economy and Policy</dc:subject>
  <dcterms:created xsi:type="dcterms:W3CDTF">2026-09-12T11:11:15Z</dcterms:created>
  <dcterms:modified xsi:type="dcterms:W3CDTF">2026-09-12T11:11:15Z</dcterms:modified>
</cp:coreProperties>
</file>