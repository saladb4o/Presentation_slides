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README" sheetId="2" state="visible" r:id="rId2"/>
    <sheet name="02_MASTER" sheetId="3" state="visible" r:id="rId3"/>
    <sheet name="03_SOURCES" sheetId="4" state="visible" r:id="rId4"/>
    <sheet name="04_DEFINITIONS" sheetId="5" state="visible" r:id="rId5"/>
    <sheet name="05_CALC" sheetId="6" state="visible" r:id="rId6"/>
    <sheet name="F1_BRANCHES" sheetId="7" state="visible" r:id="rId7"/>
    <sheet name="F2_PAYMENTS" sheetId="8" state="visible" r:id="rId8"/>
    <sheet name="F3_ESALES" sheetId="9" state="visible" r:id="rId9"/>
    <sheet name="F4_EXCLUSION" sheetId="10" state="visible" r:id="rId10"/>
    <sheet name="F5_EU8" sheetId="11" state="visible" r:id="rId11"/>
    <sheet name="06_RETAIL_GAP" sheetId="12" state="visible" r:id="rId12"/>
    <sheet name="07_LIMITATIONS" sheetId="13" state="visible" r:id="rId13"/>
    <sheet name="08_AI_LOG" sheetId="14" state="visible" r:id="rId14"/>
  </sheets>
  <definedNames>
    <definedName name="_xlnm._FilterDatabase" localSheetId="2" hidden="1">'02_MASTER'!$A$1:$L$70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7">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3" fontId="4" fillId="4" borderId="1" pivotButton="0" quotePrefix="0" xfId="0"/>
    <xf numFmtId="0" fontId="8" fillId="0" borderId="1" pivotButton="0" quotePrefix="0" xfId="0"/>
    <xf numFmtId="0" fontId="8" fillId="0" borderId="1" applyAlignment="1" pivotButton="0" quotePrefix="0" xfId="0">
      <alignment vertical="top" wrapText="1"/>
    </xf>
    <xf numFmtId="164" fontId="4" fillId="4" borderId="1" pivotButton="0" quotePrefix="0" xfId="0"/>
    <xf numFmtId="2" fontId="4" fillId="4" borderId="1" pivotButton="0" quotePrefix="0" xfId="0"/>
    <xf numFmtId="0" fontId="8" fillId="0" borderId="0" applyAlignment="1" pivotButton="0" quotePrefix="0" xfId="0">
      <alignment vertical="top" wrapText="1"/>
    </xf>
    <xf numFmtId="165" fontId="4" fillId="4" borderId="1" pivotButton="0" quotePrefix="0" xfId="0"/>
    <xf numFmtId="165" fontId="4" fillId="5" borderId="1" pivotButton="0" quotePrefix="0" xfId="0"/>
    <xf numFmtId="2" fontId="0" fillId="4" borderId="1" pivotButton="0" quotePrefix="0" xfId="0"/>
    <xf numFmtId="0" fontId="5" fillId="0" borderId="1"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style val="2"/>
  <chart>
    <title>
      <tx>
        <rich>
          <a:bodyPr/>
          <a:p>
            <a:pPr>
              <a:defRPr/>
            </a:pPr>
            <a:r>
              <a:t>Bank branches in Denmark, 2004-2024</a:t>
            </a:r>
          </a:p>
        </rich>
      </tx>
    </title>
    <plotArea>
      <scatterChart>
        <ser>
          <idx val="0"/>
          <order val="0"/>
          <tx>
            <strRef>
              <f>'F1_BRANCHES'!B4</f>
            </strRef>
          </tx>
          <spPr>
            <a:ln w="22000">
              <a:prstDash val="solid"/>
            </a:ln>
          </spPr>
          <marker>
            <symbol val="circle"/>
            <size val="7"/>
            <spPr>
              <a:ln>
                <a:prstDash val="solid"/>
              </a:ln>
            </spPr>
          </marker>
          <xVal>
            <numRef>
              <f>'F1_BRANCHES'!$A$5:$A$10</f>
            </numRef>
          </xVal>
          <yVal>
            <numRef>
              <f>'F1_BRANCHES'!$B$5:$B$10</f>
            </numRef>
          </yVal>
        </ser>
        <axId val="10"/>
        <axId val="20"/>
      </scatterChart>
      <valAx>
        <axId val="10"/>
        <scaling>
          <orientation val="minMax"/>
          <max val="2026"/>
          <min val="2002"/>
        </scaling>
        <axPos val="l"/>
        <majorGridlines/>
        <title>
          <tx>
            <rich>
              <a:bodyPr/>
              <a:p>
                <a:pPr>
                  <a:defRPr/>
                </a:pPr>
                <a:r>
                  <a:t>Year</a:t>
                </a:r>
              </a:p>
            </rich>
          </tx>
        </title>
        <majorTickMark val="none"/>
        <minorTickMark val="none"/>
        <crossAx val="20"/>
      </valAx>
      <valAx>
        <axId val="20"/>
        <scaling>
          <orientation val="minMax"/>
          <min val="0"/>
        </scaling>
        <axPos val="l"/>
        <majorGridlines/>
        <title>
          <tx>
            <rich>
              <a:bodyPr/>
              <a:p>
                <a:pPr>
                  <a:defRPr/>
                </a:pPr>
                <a:r>
                  <a:t>Number of branches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Cash share of in-store payments, 2017-2025</a:t>
            </a:r>
          </a:p>
        </rich>
      </tx>
    </title>
    <plotArea>
      <scatterChart>
        <ser>
          <idx val="0"/>
          <order val="0"/>
          <tx>
            <strRef>
              <f>'F2_PAYMENTS'!B5</f>
            </strRef>
          </tx>
          <spPr>
            <a:ln w="22000">
              <a:prstDash val="solid"/>
            </a:ln>
          </spPr>
          <marker>
            <symbol val="circle"/>
            <size val="7"/>
            <spPr>
              <a:ln>
                <a:prstDash val="solid"/>
              </a:ln>
            </spPr>
          </marker>
          <xVal>
            <numRef>
              <f>'F2_PAYMENTS'!$A$6:$A$8</f>
            </numRef>
          </xVal>
          <yVal>
            <numRef>
              <f>'F2_PAYMENTS'!$B$6:$B$8</f>
            </numRef>
          </yVal>
        </ser>
        <axId val="10"/>
        <axId val="20"/>
      </scatterChart>
      <valAx>
        <axId val="10"/>
        <scaling>
          <orientation val="minMax"/>
          <max val="2026"/>
          <min val="2016"/>
        </scaling>
        <axPos val="l"/>
        <majorGridlines/>
        <title>
          <tx>
            <rich>
              <a:bodyPr/>
              <a:p>
                <a:pPr>
                  <a:defRPr/>
                </a:pPr>
                <a:r>
                  <a:t>Year</a:t>
                </a:r>
              </a:p>
            </rich>
          </tx>
        </title>
        <majorTickMark val="none"/>
        <minorTickMark val="none"/>
        <crossAx val="20"/>
      </valAx>
      <valAx>
        <axId val="20"/>
        <scaling>
          <orientation val="minMax"/>
          <max val="25"/>
          <min val="0"/>
        </scaling>
        <axPos val="l"/>
        <majorGridlines/>
        <title>
          <tx>
            <rich>
              <a:bodyPr/>
              <a:p>
                <a:pPr>
                  <a:defRPr/>
                </a:pPr>
                <a:r>
                  <a:t>% of number of payments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Composition of in-store payments, 2025</a:t>
            </a:r>
          </a:p>
        </rich>
      </tx>
    </title>
    <plotArea>
      <barChart>
        <barDir val="bar"/>
        <grouping val="clustered"/>
        <ser>
          <idx val="0"/>
          <order val="0"/>
          <tx>
            <strRef>
              <f>'F2_PAYMENTS'!B11</f>
            </strRef>
          </tx>
          <spPr>
            <a:ln>
              <a:prstDash val="solid"/>
            </a:ln>
          </spPr>
          <cat>
            <numRef>
              <f>'F2_PAYMENTS'!$A$12:$A$14</f>
            </numRef>
          </cat>
          <val>
            <numRef>
              <f>'F2_PAYMENTS'!$B$12:$B$14</f>
            </numRef>
          </val>
        </ser>
        <gapWidth val="150"/>
        <axId val="10"/>
        <axId val="100"/>
      </barChart>
      <catAx>
        <axId val="10"/>
        <scaling>
          <orientation val="minMax"/>
        </scaling>
        <axPos val="l"/>
        <title>
          <tx>
            <rich>
              <a:bodyPr/>
              <a:p>
                <a:pPr>
                  <a:defRPr/>
                </a:pPr>
                <a:r>
                  <a:t>% of number of payments</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E-sales as % of enterprise turnover</a:t>
            </a:r>
          </a:p>
        </rich>
      </tx>
    </title>
    <plotArea>
      <barChart>
        <barDir val="col"/>
        <grouping val="clustered"/>
        <ser>
          <idx val="0"/>
          <order val="0"/>
          <tx>
            <strRef>
              <f>'F3_ESALES'!B4</f>
            </strRef>
          </tx>
          <spPr>
            <a:ln>
              <a:prstDash val="solid"/>
            </a:ln>
          </spPr>
          <cat>
            <numRef>
              <f>'F3_ESALES'!$A$5:$A$6</f>
            </numRef>
          </cat>
          <val>
            <numRef>
              <f>'F3_ESALES'!$B$5:$B$6</f>
            </numRef>
          </val>
        </ser>
        <ser>
          <idx val="1"/>
          <order val="1"/>
          <tx>
            <strRef>
              <f>'F3_ESALES'!C4</f>
            </strRef>
          </tx>
          <spPr>
            <a:ln>
              <a:prstDash val="solid"/>
            </a:ln>
          </spPr>
          <cat>
            <numRef>
              <f>'F3_ESALES'!$A$5:$A$6</f>
            </numRef>
          </cat>
          <val>
            <numRef>
              <f>'F3_ESALES'!$C$5:$C$6</f>
            </numRef>
          </val>
        </ser>
        <gapWidth val="150"/>
        <axId val="10"/>
        <axId val="100"/>
      </barChart>
      <catAx>
        <axId val="10"/>
        <scaling>
          <orientation val="minMax"/>
        </scaling>
        <axPos val="l"/>
        <title>
          <tx>
            <rich>
              <a:bodyPr/>
              <a:p>
                <a:pPr>
                  <a:defRPr/>
                </a:pPr>
                <a:r>
                  <a:t>Year</a:t>
                </a:r>
              </a:p>
            </rich>
          </tx>
        </title>
        <majorTickMark val="none"/>
        <minorTickMark val="none"/>
        <crossAx val="100"/>
        <lblOffset val="100"/>
      </catAx>
      <valAx>
        <axId val="100"/>
        <scaling>
          <orientation val="minMax"/>
        </scaling>
        <axPos val="l"/>
        <majorGridlines/>
        <title>
          <tx>
            <rich>
              <a:bodyPr/>
              <a:p>
                <a:pPr>
                  <a:defRPr/>
                </a:pPr>
                <a:r>
                  <a:t>% of turnover</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Measures of digital exclusion, Denmark</a:t>
            </a:r>
          </a:p>
        </rich>
      </tx>
    </title>
    <plotArea>
      <barChart>
        <barDir val="bar"/>
        <grouping val="clustered"/>
        <ser>
          <idx val="0"/>
          <order val="0"/>
          <tx>
            <strRef>
              <f>'F4_EXCLUSION'!B4</f>
            </strRef>
          </tx>
          <spPr>
            <a:ln>
              <a:prstDash val="solid"/>
            </a:ln>
          </spPr>
          <cat>
            <numRef>
              <f>'F4_EXCLUSION'!$A$5:$A$10</f>
            </numRef>
          </cat>
          <val>
            <numRef>
              <f>'F4_EXCLUSION'!$B$5:$B$10</f>
            </numRef>
          </val>
        </ser>
        <gapWidth val="150"/>
        <axId val="10"/>
        <axId val="100"/>
      </barChart>
      <catAx>
        <axId val="10"/>
        <scaling>
          <orientation val="minMax"/>
        </scaling>
        <axPos val="l"/>
        <title>
          <tx>
            <rich>
              <a:bodyPr/>
              <a:p>
                <a:pPr>
                  <a:defRPr/>
                </a:pPr>
                <a:r>
                  <a:t>% of population</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Individuals who bought online in last 12 months, 2024</a:t>
            </a:r>
          </a:p>
        </rich>
      </tx>
    </title>
    <plotArea>
      <barChart>
        <barDir val="bar"/>
        <grouping val="clustered"/>
        <ser>
          <idx val="0"/>
          <order val="0"/>
          <tx>
            <strRef>
              <f>'F5_EU8'!B4</f>
            </strRef>
          </tx>
          <spPr>
            <a:ln>
              <a:prstDash val="solid"/>
            </a:ln>
          </spPr>
          <cat>
            <numRef>
              <f>'F5_EU8'!$A$5:$A$12</f>
            </numRef>
          </cat>
          <val>
            <numRef>
              <f>'F5_EU8'!$B$5:$B$12</f>
            </numRef>
          </val>
        </ser>
        <gapWidth val="150"/>
        <axId val="10"/>
        <axId val="100"/>
      </barChart>
      <catAx>
        <axId val="10"/>
        <scaling>
          <orientation val="minMax"/>
        </scaling>
        <axPos val="l"/>
        <title>
          <tx>
            <rich>
              <a:bodyPr/>
              <a:p>
                <a:pPr>
                  <a:defRPr/>
                </a:pPr>
                <a:r>
                  <a:t>% of internet users</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10</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2026-09-12</t>
        </is>
      </c>
    </row>
    <row r="10">
      <c r="A10" s="3" t="inlineStr">
        <is>
          <t>Observations</t>
        </is>
      </c>
      <c r="B10" s="4" t="inlineStr">
        <is>
          <t>69</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2026-09-12.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F5_EU8</t>
        </is>
      </c>
      <c r="B28" s="6" t="inlineStr">
        <is>
          <t>Figure 5 - online purchasing, verified EU countries, 2024</t>
        </is>
      </c>
    </row>
    <row r="29">
      <c r="A29" s="5" t="inlineStr">
        <is>
          <t>06_RETAIL_GAP</t>
        </is>
      </c>
      <c r="B29" s="6" t="inlineStr">
        <is>
          <t>Documented gap - retail volume index not retrieved</t>
        </is>
      </c>
    </row>
    <row r="30">
      <c r="A30" s="5" t="inlineStr">
        <is>
          <t>07_LIMITATIONS</t>
        </is>
      </c>
      <c r="B30" s="6" t="inlineStr">
        <is>
          <t>Data quality statement - read before citing</t>
        </is>
      </c>
    </row>
    <row r="31">
      <c r="A31" s="5" t="inlineStr">
        <is>
          <t>08_AI_LOG</t>
        </is>
      </c>
      <c r="B31"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extraction_date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row>
    <row r="26">
      <c r="A26" s="13" t="n">
        <v>25</v>
      </c>
      <c r="B26" s="14" t="inlineStr">
        <is>
          <t>DK.ECM.IND.BUY</t>
        </is>
      </c>
      <c r="C26" s="15" t="inlineStr">
        <is>
          <t>Individuals who bought online in last 12 months</t>
        </is>
      </c>
      <c r="D26" s="13" t="inlineStr">
        <is>
          <t>DK</t>
        </is>
      </c>
      <c r="E26" s="13" t="n">
        <v>2024</v>
      </c>
      <c r="F26" s="16" t="n">
        <v>91</v>
      </c>
      <c r="G26" s="13" t="inlineStr">
        <is>
          <t>%</t>
        </is>
      </c>
      <c r="H26" s="15" t="inlineStr">
        <is>
          <t>% of internet users</t>
        </is>
      </c>
      <c r="I26" s="13" t="inlineStr"/>
      <c r="J26" s="14" t="inlineStr">
        <is>
          <t>ES4</t>
        </is>
      </c>
      <c r="K26" s="13" t="inlineStr">
        <is>
          <t>2026-09-12</t>
        </is>
      </c>
      <c r="L26" s="15" t="inlineStr"/>
    </row>
    <row r="27">
      <c r="A27" s="13" t="n">
        <v>26</v>
      </c>
      <c r="B27" s="14" t="inlineStr">
        <is>
          <t>EU.ECM.IND.BUY</t>
        </is>
      </c>
      <c r="C27" s="15" t="inlineStr">
        <is>
          <t>Individuals who bought online in last 12 months</t>
        </is>
      </c>
      <c r="D27" s="13" t="inlineStr">
        <is>
          <t>EU27</t>
        </is>
      </c>
      <c r="E27" s="13" t="n">
        <v>2014</v>
      </c>
      <c r="F27" s="16" t="n">
        <v>59</v>
      </c>
      <c r="G27" s="13" t="inlineStr">
        <is>
          <t>%</t>
        </is>
      </c>
      <c r="H27" s="15" t="inlineStr">
        <is>
          <t>% of internet users</t>
        </is>
      </c>
      <c r="I27" s="13" t="inlineStr"/>
      <c r="J27" s="14" t="inlineStr">
        <is>
          <t>ES4</t>
        </is>
      </c>
      <c r="K27" s="13" t="inlineStr">
        <is>
          <t>2026-09-12</t>
        </is>
      </c>
      <c r="L27" s="15" t="inlineStr"/>
    </row>
    <row r="28">
      <c r="A28" s="13" t="n">
        <v>27</v>
      </c>
      <c r="B28" s="14" t="inlineStr">
        <is>
          <t>EU.ECM.IND.BUY</t>
        </is>
      </c>
      <c r="C28" s="15" t="inlineStr">
        <is>
          <t>Individuals who bought online in last 12 months</t>
        </is>
      </c>
      <c r="D28" s="13" t="inlineStr">
        <is>
          <t>EU27</t>
        </is>
      </c>
      <c r="E28" s="13" t="n">
        <v>2024</v>
      </c>
      <c r="F28" s="16" t="n">
        <v>77</v>
      </c>
      <c r="G28" s="13" t="inlineStr">
        <is>
          <t>%</t>
        </is>
      </c>
      <c r="H28" s="15" t="inlineStr">
        <is>
          <t>% of internet users</t>
        </is>
      </c>
      <c r="I28" s="13" t="inlineStr"/>
      <c r="J28" s="14" t="inlineStr">
        <is>
          <t>ES4</t>
        </is>
      </c>
      <c r="K28" s="13" t="inlineStr">
        <is>
          <t>2026-09-12</t>
        </is>
      </c>
      <c r="L28" s="15" t="inlineStr"/>
    </row>
    <row r="29">
      <c r="A29" s="13" t="n">
        <v>28</v>
      </c>
      <c r="B29" s="14" t="inlineStr">
        <is>
          <t>IE.ECM.IND.BUY</t>
        </is>
      </c>
      <c r="C29" s="15" t="inlineStr">
        <is>
          <t>Individuals who bought online in last 12 months</t>
        </is>
      </c>
      <c r="D29" s="13" t="inlineStr">
        <is>
          <t>IE</t>
        </is>
      </c>
      <c r="E29" s="13" t="n">
        <v>2024</v>
      </c>
      <c r="F29" s="16" t="n">
        <v>96</v>
      </c>
      <c r="G29" s="13" t="inlineStr">
        <is>
          <t>%</t>
        </is>
      </c>
      <c r="H29" s="15" t="inlineStr">
        <is>
          <t>% of internet users</t>
        </is>
      </c>
      <c r="I29" s="13" t="inlineStr"/>
      <c r="J29" s="14" t="inlineStr">
        <is>
          <t>ES4</t>
        </is>
      </c>
      <c r="K29" s="13" t="inlineStr">
        <is>
          <t>2026-09-12</t>
        </is>
      </c>
      <c r="L29" s="15" t="inlineStr">
        <is>
          <t>Highest in EU.</t>
        </is>
      </c>
    </row>
    <row r="30">
      <c r="A30" s="13" t="n">
        <v>29</v>
      </c>
      <c r="B30" s="14" t="inlineStr">
        <is>
          <t>NL.ECM.IND.BUY</t>
        </is>
      </c>
      <c r="C30" s="15" t="inlineStr">
        <is>
          <t>Individuals who bought online in last 12 months</t>
        </is>
      </c>
      <c r="D30" s="13" t="inlineStr">
        <is>
          <t>NL</t>
        </is>
      </c>
      <c r="E30" s="13" t="n">
        <v>2024</v>
      </c>
      <c r="F30" s="16" t="n">
        <v>94</v>
      </c>
      <c r="G30" s="13" t="inlineStr">
        <is>
          <t>%</t>
        </is>
      </c>
      <c r="H30" s="15" t="inlineStr">
        <is>
          <t>% of internet users</t>
        </is>
      </c>
      <c r="I30" s="13" t="inlineStr"/>
      <c r="J30" s="14" t="inlineStr">
        <is>
          <t>ES4</t>
        </is>
      </c>
      <c r="K30" s="13" t="inlineStr">
        <is>
          <t>2026-09-12</t>
        </is>
      </c>
      <c r="L30" s="15" t="inlineStr"/>
    </row>
    <row r="31">
      <c r="A31" s="13" t="n">
        <v>30</v>
      </c>
      <c r="B31" s="14" t="inlineStr">
        <is>
          <t>DE.ECM.IND.BUY</t>
        </is>
      </c>
      <c r="C31" s="15" t="inlineStr">
        <is>
          <t>Individuals who bought online in last 12 months</t>
        </is>
      </c>
      <c r="D31" s="13" t="inlineStr">
        <is>
          <t>DE</t>
        </is>
      </c>
      <c r="E31" s="13" t="n">
        <v>2024</v>
      </c>
      <c r="F31" s="16" t="n">
        <v>83</v>
      </c>
      <c r="G31" s="13" t="inlineStr">
        <is>
          <t>%</t>
        </is>
      </c>
      <c r="H31" s="15" t="inlineStr">
        <is>
          <t>% of internet users</t>
        </is>
      </c>
      <c r="I31" s="13" t="inlineStr"/>
      <c r="J31" s="14" t="inlineStr">
        <is>
          <t>ES4</t>
        </is>
      </c>
      <c r="K31" s="13" t="inlineStr">
        <is>
          <t>2026-09-12</t>
        </is>
      </c>
      <c r="L31" s="15" t="inlineStr">
        <is>
          <t>Ranked 8th in EU.</t>
        </is>
      </c>
    </row>
    <row r="32">
      <c r="A32" s="13" t="n">
        <v>31</v>
      </c>
      <c r="B32" s="14" t="inlineStr">
        <is>
          <t>IT.ECM.IND.BUY</t>
        </is>
      </c>
      <c r="C32" s="15" t="inlineStr">
        <is>
          <t>Individuals who bought online in last 12 months</t>
        </is>
      </c>
      <c r="D32" s="13" t="inlineStr">
        <is>
          <t>IT</t>
        </is>
      </c>
      <c r="E32" s="13" t="n">
        <v>2024</v>
      </c>
      <c r="F32" s="16" t="n">
        <v>60</v>
      </c>
      <c r="G32" s="13" t="inlineStr">
        <is>
          <t>%</t>
        </is>
      </c>
      <c r="H32" s="15" t="inlineStr">
        <is>
          <t>% of internet users</t>
        </is>
      </c>
      <c r="I32" s="13" t="inlineStr"/>
      <c r="J32" s="14" t="inlineStr">
        <is>
          <t>ES4</t>
        </is>
      </c>
      <c r="K32" s="13" t="inlineStr">
        <is>
          <t>2026-09-12</t>
        </is>
      </c>
      <c r="L32" s="15" t="inlineStr"/>
    </row>
    <row r="33">
      <c r="A33" s="13" t="n">
        <v>32</v>
      </c>
      <c r="B33" s="14" t="inlineStr">
        <is>
          <t>RO.ECM.IND.BUY</t>
        </is>
      </c>
      <c r="C33" s="15" t="inlineStr">
        <is>
          <t>Individuals who bought online in last 12 months</t>
        </is>
      </c>
      <c r="D33" s="13" t="inlineStr">
        <is>
          <t>RO</t>
        </is>
      </c>
      <c r="E33" s="13" t="n">
        <v>2024</v>
      </c>
      <c r="F33" s="16" t="n">
        <v>60</v>
      </c>
      <c r="G33" s="13" t="inlineStr">
        <is>
          <t>%</t>
        </is>
      </c>
      <c r="H33" s="15" t="inlineStr">
        <is>
          <t>% of internet users</t>
        </is>
      </c>
      <c r="I33" s="13" t="inlineStr"/>
      <c r="J33" s="14" t="inlineStr">
        <is>
          <t>ES4</t>
        </is>
      </c>
      <c r="K33" s="13" t="inlineStr">
        <is>
          <t>2026-09-12</t>
        </is>
      </c>
      <c r="L33" s="15" t="inlineStr"/>
    </row>
    <row r="34">
      <c r="A34" s="13" t="n">
        <v>33</v>
      </c>
      <c r="B34" s="14" t="inlineStr">
        <is>
          <t>BG.ECM.IND.BUY</t>
        </is>
      </c>
      <c r="C34" s="15" t="inlineStr">
        <is>
          <t>Individuals who bought online in last 12 months</t>
        </is>
      </c>
      <c r="D34" s="13" t="inlineStr">
        <is>
          <t>BG</t>
        </is>
      </c>
      <c r="E34" s="13" t="n">
        <v>2024</v>
      </c>
      <c r="F34" s="16" t="n">
        <v>57</v>
      </c>
      <c r="G34" s="13" t="inlineStr">
        <is>
          <t>%</t>
        </is>
      </c>
      <c r="H34" s="15" t="inlineStr">
        <is>
          <t>% of internet users</t>
        </is>
      </c>
      <c r="I34" s="13" t="inlineStr"/>
      <c r="J34" s="14" t="inlineStr">
        <is>
          <t>ES4</t>
        </is>
      </c>
      <c r="K34" s="13" t="inlineStr">
        <is>
          <t>2026-09-12</t>
        </is>
      </c>
      <c r="L34" s="15" t="inlineStr">
        <is>
          <t>Lowest in EU.</t>
        </is>
      </c>
    </row>
    <row r="35">
      <c r="A35" s="13" t="n">
        <v>34</v>
      </c>
      <c r="B35" s="14" t="inlineStr">
        <is>
          <t>DK.ECM.ENT.TRN</t>
        </is>
      </c>
      <c r="C35" s="15" t="inlineStr">
        <is>
          <t>E-sales as share of enterprise turnover</t>
        </is>
      </c>
      <c r="D35" s="13" t="inlineStr">
        <is>
          <t>DK</t>
        </is>
      </c>
      <c r="E35" s="13" t="n">
        <v>2014</v>
      </c>
      <c r="F35" s="16" t="n">
        <v>17.05</v>
      </c>
      <c r="G35" s="13" t="inlineStr">
        <is>
          <t>%</t>
        </is>
      </c>
      <c r="H35" s="15" t="inlineStr">
        <is>
          <t>% of total enterprise turnover</t>
        </is>
      </c>
      <c r="I35" s="13" t="inlineStr"/>
      <c r="J35" s="14" t="inlineStr">
        <is>
          <t>ES5</t>
        </is>
      </c>
      <c r="K35" s="13" t="inlineStr">
        <is>
          <t>2026-09-12</t>
        </is>
      </c>
      <c r="L35" s="15" t="inlineStr"/>
    </row>
    <row r="36">
      <c r="A36" s="13" t="n">
        <v>35</v>
      </c>
      <c r="B36" s="14" t="inlineStr">
        <is>
          <t>DK.ECM.ENT.TRN</t>
        </is>
      </c>
      <c r="C36" s="15" t="inlineStr">
        <is>
          <t>E-sales as share of enterprise turnover</t>
        </is>
      </c>
      <c r="D36" s="13" t="inlineStr">
        <is>
          <t>DK</t>
        </is>
      </c>
      <c r="E36" s="13" t="n">
        <v>2024</v>
      </c>
      <c r="F36" s="16" t="n">
        <v>33.31</v>
      </c>
      <c r="G36" s="13" t="inlineStr">
        <is>
          <t>%</t>
        </is>
      </c>
      <c r="H36" s="15" t="inlineStr">
        <is>
          <t>% of total enterprise turnover</t>
        </is>
      </c>
      <c r="I36" s="13" t="inlineStr"/>
      <c r="J36" s="14" t="inlineStr">
        <is>
          <t>ES5</t>
        </is>
      </c>
      <c r="K36" s="13" t="inlineStr">
        <is>
          <t>2026-09-12</t>
        </is>
      </c>
      <c r="L36" s="15" t="inlineStr">
        <is>
          <t>2nd in EU after Ireland.</t>
        </is>
      </c>
    </row>
    <row r="37">
      <c r="A37" s="13" t="n">
        <v>36</v>
      </c>
      <c r="B37" s="14" t="inlineStr">
        <is>
          <t>EU.ECM.ENT.TRN</t>
        </is>
      </c>
      <c r="C37" s="15" t="inlineStr">
        <is>
          <t>E-sales as share of enterprise turnover</t>
        </is>
      </c>
      <c r="D37" s="13" t="inlineStr">
        <is>
          <t>EU27</t>
        </is>
      </c>
      <c r="E37" s="13" t="n">
        <v>2014</v>
      </c>
      <c r="F37" s="16" t="n">
        <v>16.43</v>
      </c>
      <c r="G37" s="13" t="inlineStr">
        <is>
          <t>%</t>
        </is>
      </c>
      <c r="H37" s="15" t="inlineStr">
        <is>
          <t>% of total enterprise turnover</t>
        </is>
      </c>
      <c r="I37" s="13" t="inlineStr"/>
      <c r="J37" s="14" t="inlineStr">
        <is>
          <t>ES5</t>
        </is>
      </c>
      <c r="K37" s="13" t="inlineStr">
        <is>
          <t>2026-09-12</t>
        </is>
      </c>
      <c r="L37" s="15" t="inlineStr"/>
    </row>
    <row r="38">
      <c r="A38" s="13" t="n">
        <v>37</v>
      </c>
      <c r="B38" s="14" t="inlineStr">
        <is>
          <t>EU.ECM.ENT.TRN</t>
        </is>
      </c>
      <c r="C38" s="15" t="inlineStr">
        <is>
          <t>E-sales as share of enterprise turnover</t>
        </is>
      </c>
      <c r="D38" s="13" t="inlineStr">
        <is>
          <t>EU27</t>
        </is>
      </c>
      <c r="E38" s="13" t="n">
        <v>2024</v>
      </c>
      <c r="F38" s="16" t="n">
        <v>19.49</v>
      </c>
      <c r="G38" s="13" t="inlineStr">
        <is>
          <t>%</t>
        </is>
      </c>
      <c r="H38" s="15" t="inlineStr">
        <is>
          <t>% of total enterprise turnover</t>
        </is>
      </c>
      <c r="I38" s="13" t="inlineStr"/>
      <c r="J38" s="14" t="inlineStr">
        <is>
          <t>ES5</t>
        </is>
      </c>
      <c r="K38" s="13" t="inlineStr">
        <is>
          <t>2026-09-12</t>
        </is>
      </c>
      <c r="L38" s="15" t="inlineStr"/>
    </row>
    <row r="39">
      <c r="A39" s="13" t="n">
        <v>38</v>
      </c>
      <c r="B39" s="14" t="inlineStr">
        <is>
          <t>IE.ECM.ENT.TRN</t>
        </is>
      </c>
      <c r="C39" s="15" t="inlineStr">
        <is>
          <t>E-sales as share of enterprise turnover</t>
        </is>
      </c>
      <c r="D39" s="13" t="inlineStr">
        <is>
          <t>IE</t>
        </is>
      </c>
      <c r="E39" s="13" t="n">
        <v>2024</v>
      </c>
      <c r="F39" s="16" t="n">
        <v>38.25</v>
      </c>
      <c r="G39" s="13" t="inlineStr">
        <is>
          <t>%</t>
        </is>
      </c>
      <c r="H39" s="15" t="inlineStr">
        <is>
          <t>% of total enterprise turnover</t>
        </is>
      </c>
      <c r="I39" s="13" t="inlineStr"/>
      <c r="J39" s="14" t="inlineStr">
        <is>
          <t>ES5</t>
        </is>
      </c>
      <c r="K39" s="13" t="inlineStr">
        <is>
          <t>2026-09-12</t>
        </is>
      </c>
      <c r="L39" s="15" t="inlineStr">
        <is>
          <t>Highest in EU.</t>
        </is>
      </c>
    </row>
    <row r="40">
      <c r="A40" s="13" t="n">
        <v>39</v>
      </c>
      <c r="B40" s="14" t="inlineStr">
        <is>
          <t>DK.ECM.ENT.SHR</t>
        </is>
      </c>
      <c r="C40" s="15" t="inlineStr">
        <is>
          <t>Enterprises making e-sales</t>
        </is>
      </c>
      <c r="D40" s="13" t="inlineStr">
        <is>
          <t>DK</t>
        </is>
      </c>
      <c r="E40" s="13" t="n">
        <v>2024</v>
      </c>
      <c r="F40" s="16" t="n">
        <v>38.78</v>
      </c>
      <c r="G40" s="13" t="inlineStr">
        <is>
          <t>%</t>
        </is>
      </c>
      <c r="H40" s="15" t="inlineStr">
        <is>
          <t>% of enterprises</t>
        </is>
      </c>
      <c r="I40" s="13" t="inlineStr"/>
      <c r="J40" s="14" t="inlineStr">
        <is>
          <t>ES5</t>
        </is>
      </c>
      <c r="K40" s="13" t="inlineStr">
        <is>
          <t>2026-09-12</t>
        </is>
      </c>
      <c r="L40" s="15" t="inlineStr">
        <is>
          <t>2nd in EU after Lithuania.</t>
        </is>
      </c>
    </row>
    <row r="41">
      <c r="A41" s="13" t="n">
        <v>40</v>
      </c>
      <c r="B41" s="14" t="inlineStr">
        <is>
          <t>LT.ECM.ENT.SHR</t>
        </is>
      </c>
      <c r="C41" s="15" t="inlineStr">
        <is>
          <t>Enterprises making e-sales</t>
        </is>
      </c>
      <c r="D41" s="13" t="inlineStr">
        <is>
          <t>LT</t>
        </is>
      </c>
      <c r="E41" s="13" t="n">
        <v>2024</v>
      </c>
      <c r="F41" s="16" t="n">
        <v>43.03</v>
      </c>
      <c r="G41" s="13" t="inlineStr">
        <is>
          <t>%</t>
        </is>
      </c>
      <c r="H41" s="15" t="inlineStr">
        <is>
          <t>% of enterprises</t>
        </is>
      </c>
      <c r="I41" s="13" t="inlineStr"/>
      <c r="J41" s="14" t="inlineStr">
        <is>
          <t>ES5</t>
        </is>
      </c>
      <c r="K41" s="13" t="inlineStr">
        <is>
          <t>2026-09-12</t>
        </is>
      </c>
      <c r="L41" s="15" t="inlineStr">
        <is>
          <t>Highest in EU.</t>
        </is>
      </c>
    </row>
    <row r="42">
      <c r="A42" s="13" t="n">
        <v>41</v>
      </c>
      <c r="B42" s="14" t="inlineStr">
        <is>
          <t>DK.DGP.EXMP</t>
        </is>
      </c>
      <c r="C42" s="15" t="inlineStr">
        <is>
          <t>Citizens formally exempt from Digital Post</t>
        </is>
      </c>
      <c r="D42" s="13" t="inlineStr">
        <is>
          <t>DK</t>
        </is>
      </c>
      <c r="E42" s="13" t="n">
        <v>2025</v>
      </c>
      <c r="F42" s="16" t="n">
        <v>5</v>
      </c>
      <c r="G42" s="13" t="inlineStr">
        <is>
          <t>%</t>
        </is>
      </c>
      <c r="H42" s="15" t="inlineStr">
        <is>
          <t>% of citizens aged 15+ resident in Denmark</t>
        </is>
      </c>
      <c r="I42" s="13" t="inlineStr"/>
      <c r="J42" s="14" t="inlineStr">
        <is>
          <t>DG1</t>
        </is>
      </c>
      <c r="K42" s="13" t="inlineStr">
        <is>
          <t>2026-09-12</t>
        </is>
      </c>
      <c r="L42" s="15" t="inlineStr">
        <is>
          <t>April 2025; approx. 256,000 citizens.</t>
        </is>
      </c>
    </row>
    <row r="43">
      <c r="A43" s="13" t="n">
        <v>42</v>
      </c>
      <c r="B43" s="14" t="inlineStr">
        <is>
          <t>DK.DGP.EXMP</t>
        </is>
      </c>
      <c r="C43" s="15" t="inlineStr">
        <is>
          <t>Citizens formally exempt from Digital Post</t>
        </is>
      </c>
      <c r="D43" s="13" t="inlineStr">
        <is>
          <t>DK</t>
        </is>
      </c>
      <c r="E43" s="13" t="n">
        <v>2026</v>
      </c>
      <c r="F43" s="16" t="n">
        <v>4.7</v>
      </c>
      <c r="G43" s="13" t="inlineStr">
        <is>
          <t>%</t>
        </is>
      </c>
      <c r="H43" s="15" t="inlineStr">
        <is>
          <t>% of citizens aged 15+ resident in Denmark</t>
        </is>
      </c>
      <c r="I43" s="13" t="inlineStr"/>
      <c r="J43" s="14" t="inlineStr">
        <is>
          <t>DG1</t>
        </is>
      </c>
      <c r="K43" s="13" t="inlineStr">
        <is>
          <t>2026-09-12</t>
        </is>
      </c>
      <c r="L43" s="15" t="inlineStr">
        <is>
          <t>Q1 2026; 238,479 citizens. 95.2% enrolled.</t>
        </is>
      </c>
    </row>
    <row r="44">
      <c r="A44" s="18" t="n">
        <v>43</v>
      </c>
      <c r="B44" s="19" t="inlineStr">
        <is>
          <t>DK.DGP.EXMP.7584</t>
        </is>
      </c>
      <c r="C44" s="20" t="inlineStr">
        <is>
          <t>Exemption rate, age 75-84</t>
        </is>
      </c>
      <c r="D44" s="18" t="inlineStr">
        <is>
          <t>DK</t>
        </is>
      </c>
      <c r="E44" s="18" t="n">
        <v>2022</v>
      </c>
      <c r="F44" s="22" t="n">
        <v>20</v>
      </c>
      <c r="G44" s="18" t="inlineStr">
        <is>
          <t>%</t>
        </is>
      </c>
      <c r="H44" s="20" t="inlineStr">
        <is>
          <t>% of age group</t>
        </is>
      </c>
      <c r="I44" s="18" t="inlineStr">
        <is>
          <t>e</t>
        </is>
      </c>
      <c r="J44" s="19" t="inlineStr">
        <is>
          <t>DG1</t>
        </is>
      </c>
      <c r="K44" s="18" t="inlineStr">
        <is>
          <t>2026-09-12</t>
        </is>
      </c>
      <c r="L44" s="20" t="inlineStr">
        <is>
          <t>Source states 'nearly one in five'.</t>
        </is>
      </c>
    </row>
    <row r="45">
      <c r="A45" s="18" t="n">
        <v>44</v>
      </c>
      <c r="B45" s="19" t="inlineStr">
        <is>
          <t>DK.DGP.EXMP.85P</t>
        </is>
      </c>
      <c r="C45" s="20" t="inlineStr">
        <is>
          <t>Exemption rate, age 85+</t>
        </is>
      </c>
      <c r="D45" s="18" t="inlineStr">
        <is>
          <t>DK</t>
        </is>
      </c>
      <c r="E45" s="18" t="n">
        <v>2022</v>
      </c>
      <c r="F45" s="22" t="n">
        <v>33</v>
      </c>
      <c r="G45" s="18" t="inlineStr">
        <is>
          <t>%</t>
        </is>
      </c>
      <c r="H45" s="20" t="inlineStr">
        <is>
          <t>% of age group</t>
        </is>
      </c>
      <c r="I45" s="18" t="inlineStr">
        <is>
          <t>e</t>
        </is>
      </c>
      <c r="J45" s="19" t="inlineStr">
        <is>
          <t>DG1</t>
        </is>
      </c>
      <c r="K45" s="18" t="inlineStr">
        <is>
          <t>2026-09-12</t>
        </is>
      </c>
      <c r="L45" s="20" t="inlineStr">
        <is>
          <t>Source states 'roughly one in three'.</t>
        </is>
      </c>
    </row>
    <row r="46">
      <c r="A46" s="13" t="n">
        <v>45</v>
      </c>
      <c r="B46" s="14" t="inlineStr">
        <is>
          <t>DK.DGX.NOUSE</t>
        </is>
      </c>
      <c r="C46" s="15" t="inlineStr">
        <is>
          <t>Do not use digital public services at all</t>
        </is>
      </c>
      <c r="D46" s="13" t="inlineStr">
        <is>
          <t>DK</t>
        </is>
      </c>
      <c r="E46" s="13" t="n">
        <v>2026</v>
      </c>
      <c r="F46" s="16" t="n">
        <v>6.5</v>
      </c>
      <c r="G46" s="13" t="inlineStr">
        <is>
          <t>%</t>
        </is>
      </c>
      <c r="H46" s="15" t="inlineStr">
        <is>
          <t>% of population</t>
        </is>
      </c>
      <c r="I46" s="13" t="inlineStr"/>
      <c r="J46" s="14" t="inlineStr">
        <is>
          <t>EC1</t>
        </is>
      </c>
      <c r="K46" s="13" t="inlineStr">
        <is>
          <t>2026-09-12</t>
        </is>
      </c>
      <c r="L46" s="15" t="inlineStr">
        <is>
          <t>Agency for Digital Government estimate.</t>
        </is>
      </c>
    </row>
    <row r="47">
      <c r="A47" s="13" t="n">
        <v>46</v>
      </c>
      <c r="B47" s="14" t="inlineStr">
        <is>
          <t>DK.DGX.DIFF</t>
        </is>
      </c>
      <c r="C47" s="15" t="inlineStr">
        <is>
          <t>Face difficulties using digital public services</t>
        </is>
      </c>
      <c r="D47" s="13" t="inlineStr">
        <is>
          <t>DK</t>
        </is>
      </c>
      <c r="E47" s="13" t="n">
        <v>2026</v>
      </c>
      <c r="F47" s="16" t="n">
        <v>16.5</v>
      </c>
      <c r="G47" s="13" t="inlineStr">
        <is>
          <t>%</t>
        </is>
      </c>
      <c r="H47" s="15" t="inlineStr">
        <is>
          <t>% of population</t>
        </is>
      </c>
      <c r="I47" s="13" t="inlineStr"/>
      <c r="J47" s="14" t="inlineStr">
        <is>
          <t>EC1</t>
        </is>
      </c>
      <c r="K47" s="13" t="inlineStr">
        <is>
          <t>2026-09-12</t>
        </is>
      </c>
      <c r="L47" s="15" t="inlineStr">
        <is>
          <t>Agency for Digital Government estimate.</t>
        </is>
      </c>
    </row>
    <row r="48">
      <c r="A48" s="18" t="n">
        <v>47</v>
      </c>
      <c r="B48" s="19" t="inlineStr">
        <is>
          <t>DK.DGX.DISADV.LO</t>
        </is>
      </c>
      <c r="C48" s="20" t="inlineStr">
        <is>
          <t>'Digitally disadvantaged' - lower bound</t>
        </is>
      </c>
      <c r="D48" s="18" t="inlineStr">
        <is>
          <t>DK</t>
        </is>
      </c>
      <c r="E48" s="18" t="n">
        <v>2025</v>
      </c>
      <c r="F48" s="22" t="n">
        <v>17</v>
      </c>
      <c r="G48" s="18" t="inlineStr">
        <is>
          <t>%</t>
        </is>
      </c>
      <c r="H48" s="20" t="inlineStr">
        <is>
          <t>% of adult population</t>
        </is>
      </c>
      <c r="I48" s="18" t="inlineStr">
        <is>
          <t>e</t>
        </is>
      </c>
      <c r="J48" s="19" t="inlineStr">
        <is>
          <t>DG2</t>
        </is>
      </c>
      <c r="K48" s="18" t="inlineStr">
        <is>
          <t>2026-09-12</t>
        </is>
      </c>
      <c r="L48" s="20" t="inlineStr">
        <is>
          <t>Published as a 17-22% range.</t>
        </is>
      </c>
    </row>
    <row r="49">
      <c r="A49" s="18" t="n">
        <v>48</v>
      </c>
      <c r="B49" s="19" t="inlineStr">
        <is>
          <t>DK.DGX.DISADV.HI</t>
        </is>
      </c>
      <c r="C49" s="20" t="inlineStr">
        <is>
          <t>'Digitally disadvantaged' - upper bound</t>
        </is>
      </c>
      <c r="D49" s="18" t="inlineStr">
        <is>
          <t>DK</t>
        </is>
      </c>
      <c r="E49" s="18" t="n">
        <v>2025</v>
      </c>
      <c r="F49" s="22" t="n">
        <v>22</v>
      </c>
      <c r="G49" s="18" t="inlineStr">
        <is>
          <t>%</t>
        </is>
      </c>
      <c r="H49" s="20" t="inlineStr">
        <is>
          <t>% of adult population</t>
        </is>
      </c>
      <c r="I49" s="18" t="inlineStr">
        <is>
          <t>e</t>
        </is>
      </c>
      <c r="J49" s="19" t="inlineStr">
        <is>
          <t>DG2</t>
        </is>
      </c>
      <c r="K49" s="18" t="inlineStr">
        <is>
          <t>2026-09-12</t>
        </is>
      </c>
      <c r="L49" s="20" t="inlineStr">
        <is>
          <t>Published as a 17-22% range.</t>
        </is>
      </c>
    </row>
    <row r="50">
      <c r="A50" s="18" t="n">
        <v>49</v>
      </c>
      <c r="B50" s="19" t="inlineStr">
        <is>
          <t>DK.DGX.JUST</t>
        </is>
      </c>
      <c r="C50" s="20" t="inlineStr">
        <is>
          <t>'Digitally disadvantaged' - Justitia estimate</t>
        </is>
      </c>
      <c r="D50" s="18" t="inlineStr">
        <is>
          <t>DK</t>
        </is>
      </c>
      <c r="E50" s="18" t="n">
        <v>2022</v>
      </c>
      <c r="F50" s="22" t="n">
        <v>25</v>
      </c>
      <c r="G50" s="18" t="inlineStr">
        <is>
          <t>%</t>
        </is>
      </c>
      <c r="H50" s="20" t="inlineStr">
        <is>
          <t>% of adult population</t>
        </is>
      </c>
      <c r="I50" s="18" t="inlineStr">
        <is>
          <t>e</t>
        </is>
      </c>
      <c r="J50" s="19" t="inlineStr">
        <is>
          <t>JU1</t>
        </is>
      </c>
      <c r="K50" s="18" t="inlineStr">
        <is>
          <t>2026-09-12</t>
        </is>
      </c>
      <c r="L50" s="20" t="inlineStr">
        <is>
          <t>Report states 'up to a quarter of the adult population'.</t>
        </is>
      </c>
    </row>
    <row r="51">
      <c r="A51" s="13" t="n">
        <v>50</v>
      </c>
      <c r="B51" s="14" t="inlineStr">
        <is>
          <t>DK.TRU.DPS</t>
        </is>
      </c>
      <c r="C51" s="15" t="inlineStr">
        <is>
          <t>Trust in digital public solutions</t>
        </is>
      </c>
      <c r="D51" s="13" t="inlineStr">
        <is>
          <t>DK</t>
        </is>
      </c>
      <c r="E51" s="13" t="n">
        <v>2024</v>
      </c>
      <c r="F51" s="16" t="n">
        <v>82</v>
      </c>
      <c r="G51" s="13" t="inlineStr">
        <is>
          <t>%</t>
        </is>
      </c>
      <c r="H51" s="15" t="inlineStr">
        <is>
          <t>% of population</t>
        </is>
      </c>
      <c r="I51" s="13" t="inlineStr"/>
      <c r="J51" s="14" t="inlineStr">
        <is>
          <t>EC1</t>
        </is>
      </c>
      <c r="K51" s="13" t="inlineStr">
        <is>
          <t>2026-09-12</t>
        </is>
      </c>
      <c r="L51" s="15" t="inlineStr"/>
    </row>
    <row r="52">
      <c r="A52" s="13" t="n">
        <v>51</v>
      </c>
      <c r="B52" s="14" t="inlineStr">
        <is>
          <t>DK.TRU.DPS</t>
        </is>
      </c>
      <c r="C52" s="15" t="inlineStr">
        <is>
          <t>Trust in digital public solutions</t>
        </is>
      </c>
      <c r="D52" s="13" t="inlineStr">
        <is>
          <t>DK</t>
        </is>
      </c>
      <c r="E52" s="13" t="n">
        <v>2025</v>
      </c>
      <c r="F52" s="16" t="n">
        <v>84</v>
      </c>
      <c r="G52" s="13" t="inlineStr">
        <is>
          <t>%</t>
        </is>
      </c>
      <c r="H52" s="15" t="inlineStr">
        <is>
          <t>% of population</t>
        </is>
      </c>
      <c r="I52" s="13" t="inlineStr"/>
      <c r="J52" s="14" t="inlineStr">
        <is>
          <t>EC1</t>
        </is>
      </c>
      <c r="K52" s="13" t="inlineStr">
        <is>
          <t>2026-09-12</t>
        </is>
      </c>
      <c r="L52" s="15" t="inlineStr">
        <is>
          <t>Record high.</t>
        </is>
      </c>
    </row>
    <row r="53">
      <c r="A53" s="13" t="n">
        <v>52</v>
      </c>
      <c r="B53" s="14" t="inlineStr">
        <is>
          <t>DK.TRU.DGP.SEC</t>
        </is>
      </c>
      <c r="C53" s="15" t="inlineStr">
        <is>
          <t>Perceived security of Digital Post</t>
        </is>
      </c>
      <c r="D53" s="13" t="inlineStr">
        <is>
          <t>DK</t>
        </is>
      </c>
      <c r="E53" s="13" t="n">
        <v>2017</v>
      </c>
      <c r="F53" s="16" t="n">
        <v>77</v>
      </c>
      <c r="G53" s="13" t="inlineStr">
        <is>
          <t>%</t>
        </is>
      </c>
      <c r="H53" s="15" t="inlineStr">
        <is>
          <t>% of population</t>
        </is>
      </c>
      <c r="I53" s="13" t="inlineStr"/>
      <c r="J53" s="14" t="inlineStr">
        <is>
          <t>EC1</t>
        </is>
      </c>
      <c r="K53" s="13" t="inlineStr">
        <is>
          <t>2026-09-12</t>
        </is>
      </c>
      <c r="L53" s="15" t="inlineStr"/>
    </row>
    <row r="54">
      <c r="A54" s="13" t="n">
        <v>53</v>
      </c>
      <c r="B54" s="14" t="inlineStr">
        <is>
          <t>DK.TRU.DGP.SEC</t>
        </is>
      </c>
      <c r="C54" s="15" t="inlineStr">
        <is>
          <t>Perceived security of Digital Post</t>
        </is>
      </c>
      <c r="D54" s="13" t="inlineStr">
        <is>
          <t>DK</t>
        </is>
      </c>
      <c r="E54" s="13" t="n">
        <v>2025</v>
      </c>
      <c r="F54" s="16" t="n">
        <v>89</v>
      </c>
      <c r="G54" s="13" t="inlineStr">
        <is>
          <t>%</t>
        </is>
      </c>
      <c r="H54" s="15" t="inlineStr">
        <is>
          <t>% of population</t>
        </is>
      </c>
      <c r="I54" s="13" t="inlineStr"/>
      <c r="J54" s="14" t="inlineStr">
        <is>
          <t>EC1</t>
        </is>
      </c>
      <c r="K54" s="13" t="inlineStr">
        <is>
          <t>2026-09-12</t>
        </is>
      </c>
      <c r="L54" s="15" t="inlineStr"/>
    </row>
    <row r="55">
      <c r="A55" s="13" t="n">
        <v>54</v>
      </c>
      <c r="B55" s="14" t="inlineStr">
        <is>
          <t>DK.SKL.1624</t>
        </is>
      </c>
      <c r="C55" s="15" t="inlineStr">
        <is>
          <t>At least basic digital skills, age 16-24</t>
        </is>
      </c>
      <c r="D55" s="13" t="inlineStr">
        <is>
          <t>DK</t>
        </is>
      </c>
      <c r="E55" s="13" t="n">
        <v>2025</v>
      </c>
      <c r="F55" s="16" t="n">
        <v>92.06</v>
      </c>
      <c r="G55" s="13" t="inlineStr">
        <is>
          <t>%</t>
        </is>
      </c>
      <c r="H55" s="15" t="inlineStr">
        <is>
          <t>% of age group</t>
        </is>
      </c>
      <c r="I55" s="13" t="inlineStr"/>
      <c r="J55" s="14" t="inlineStr">
        <is>
          <t>EC1</t>
        </is>
      </c>
      <c r="K55" s="13" t="inlineStr">
        <is>
          <t>2026-09-12</t>
        </is>
      </c>
      <c r="L55" s="15" t="inlineStr">
        <is>
          <t>EU average 74.55%.</t>
        </is>
      </c>
    </row>
    <row r="56">
      <c r="A56" s="13" t="n">
        <v>55</v>
      </c>
      <c r="B56" s="14" t="inlineStr">
        <is>
          <t>DK.SKL.2554</t>
        </is>
      </c>
      <c r="C56" s="15" t="inlineStr">
        <is>
          <t>At least basic digital skills, age 25-54</t>
        </is>
      </c>
      <c r="D56" s="13" t="inlineStr">
        <is>
          <t>DK</t>
        </is>
      </c>
      <c r="E56" s="13" t="n">
        <v>2025</v>
      </c>
      <c r="F56" s="16" t="n">
        <v>86.89</v>
      </c>
      <c r="G56" s="13" t="inlineStr">
        <is>
          <t>%</t>
        </is>
      </c>
      <c r="H56" s="15" t="inlineStr">
        <is>
          <t>% of age group</t>
        </is>
      </c>
      <c r="I56" s="13" t="inlineStr"/>
      <c r="J56" s="14" t="inlineStr">
        <is>
          <t>EC1</t>
        </is>
      </c>
      <c r="K56" s="13" t="inlineStr">
        <is>
          <t>2026-09-12</t>
        </is>
      </c>
      <c r="L56" s="15" t="inlineStr">
        <is>
          <t>EU average 68.57%.</t>
        </is>
      </c>
    </row>
    <row r="57">
      <c r="A57" s="13" t="n">
        <v>56</v>
      </c>
      <c r="B57" s="14" t="inlineStr">
        <is>
          <t>DK.SKL.5574</t>
        </is>
      </c>
      <c r="C57" s="15" t="inlineStr">
        <is>
          <t>At least basic digital skills, age 55-74</t>
        </is>
      </c>
      <c r="D57" s="13" t="inlineStr">
        <is>
          <t>DK</t>
        </is>
      </c>
      <c r="E57" s="13" t="n">
        <v>2025</v>
      </c>
      <c r="F57" s="16" t="n">
        <v>67.81</v>
      </c>
      <c r="G57" s="13" t="inlineStr">
        <is>
          <t>%</t>
        </is>
      </c>
      <c r="H57" s="15" t="inlineStr">
        <is>
          <t>% of age group</t>
        </is>
      </c>
      <c r="I57" s="13" t="inlineStr"/>
      <c r="J57" s="14" t="inlineStr">
        <is>
          <t>EC1</t>
        </is>
      </c>
      <c r="K57" s="13" t="inlineStr">
        <is>
          <t>2026-09-12</t>
        </is>
      </c>
      <c r="L57" s="15" t="inlineStr">
        <is>
          <t>EU average 42.60%.</t>
        </is>
      </c>
    </row>
    <row r="58">
      <c r="A58" s="13" t="n">
        <v>57</v>
      </c>
      <c r="B58" s="14" t="inlineStr">
        <is>
          <t>DK.ENT.DII</t>
        </is>
      </c>
      <c r="C58" s="15" t="inlineStr">
        <is>
          <t>SMEs with at least basic digital intensity</t>
        </is>
      </c>
      <c r="D58" s="13" t="inlineStr">
        <is>
          <t>DK</t>
        </is>
      </c>
      <c r="E58" s="13" t="n">
        <v>2025</v>
      </c>
      <c r="F58" s="16" t="n">
        <v>92.45</v>
      </c>
      <c r="G58" s="13" t="inlineStr">
        <is>
          <t>%</t>
        </is>
      </c>
      <c r="H58" s="15" t="inlineStr">
        <is>
          <t>% of SMEs</t>
        </is>
      </c>
      <c r="I58" s="13" t="inlineStr"/>
      <c r="J58" s="14" t="inlineStr">
        <is>
          <t>EC1</t>
        </is>
      </c>
      <c r="K58" s="13" t="inlineStr">
        <is>
          <t>2026-09-12</t>
        </is>
      </c>
      <c r="L58" s="15" t="inlineStr">
        <is>
          <t>EU average 71.39%.</t>
        </is>
      </c>
    </row>
    <row r="59">
      <c r="A59" s="13" t="n">
        <v>58</v>
      </c>
      <c r="B59" s="14" t="inlineStr">
        <is>
          <t>EU.ENT.DII</t>
        </is>
      </c>
      <c r="C59" s="15" t="inlineStr">
        <is>
          <t>SMEs with at least basic digital intensity</t>
        </is>
      </c>
      <c r="D59" s="13" t="inlineStr">
        <is>
          <t>EU27</t>
        </is>
      </c>
      <c r="E59" s="13" t="n">
        <v>2025</v>
      </c>
      <c r="F59" s="16" t="n">
        <v>71.39</v>
      </c>
      <c r="G59" s="13" t="inlineStr">
        <is>
          <t>%</t>
        </is>
      </c>
      <c r="H59" s="15" t="inlineStr">
        <is>
          <t>% of SMEs</t>
        </is>
      </c>
      <c r="I59" s="13" t="inlineStr"/>
      <c r="J59" s="14" t="inlineStr">
        <is>
          <t>EC1</t>
        </is>
      </c>
      <c r="K59" s="13" t="inlineStr">
        <is>
          <t>2026-09-12</t>
        </is>
      </c>
      <c r="L59" s="15" t="inlineStr"/>
    </row>
    <row r="60">
      <c r="A60" s="13" t="n">
        <v>59</v>
      </c>
      <c r="B60" s="14" t="inlineStr">
        <is>
          <t>DK.ENT.AI</t>
        </is>
      </c>
      <c r="C60" s="15" t="inlineStr">
        <is>
          <t>Enterprises adopting AI</t>
        </is>
      </c>
      <c r="D60" s="13" t="inlineStr">
        <is>
          <t>DK</t>
        </is>
      </c>
      <c r="E60" s="13" t="n">
        <v>2025</v>
      </c>
      <c r="F60" s="16" t="n">
        <v>42.03</v>
      </c>
      <c r="G60" s="13" t="inlineStr">
        <is>
          <t>%</t>
        </is>
      </c>
      <c r="H60" s="15" t="inlineStr">
        <is>
          <t>% of enterprises</t>
        </is>
      </c>
      <c r="I60" s="13" t="inlineStr"/>
      <c r="J60" s="14" t="inlineStr">
        <is>
          <t>EC1</t>
        </is>
      </c>
      <c r="K60" s="13" t="inlineStr">
        <is>
          <t>2026-09-12</t>
        </is>
      </c>
      <c r="L60" s="15" t="inlineStr">
        <is>
          <t>EU average 19.95%.</t>
        </is>
      </c>
    </row>
    <row r="61">
      <c r="A61" s="13" t="n">
        <v>60</v>
      </c>
      <c r="B61" s="14" t="inlineStr">
        <is>
          <t>DK.ENT.AI.LRG</t>
        </is>
      </c>
      <c r="C61" s="15" t="inlineStr">
        <is>
          <t>Large enterprises adopting AI</t>
        </is>
      </c>
      <c r="D61" s="13" t="inlineStr">
        <is>
          <t>DK</t>
        </is>
      </c>
      <c r="E61" s="13" t="n">
        <v>2025</v>
      </c>
      <c r="F61" s="16" t="n">
        <v>74.52</v>
      </c>
      <c r="G61" s="13" t="inlineStr">
        <is>
          <t>%</t>
        </is>
      </c>
      <c r="H61" s="15" t="inlineStr">
        <is>
          <t>% of large enterprises (250+)</t>
        </is>
      </c>
      <c r="I61" s="13" t="inlineStr"/>
      <c r="J61" s="14" t="inlineStr">
        <is>
          <t>EC1</t>
        </is>
      </c>
      <c r="K61" s="13" t="inlineStr">
        <is>
          <t>2026-09-12</t>
        </is>
      </c>
      <c r="L61" s="15" t="inlineStr"/>
    </row>
    <row r="62">
      <c r="A62" s="13" t="n">
        <v>61</v>
      </c>
      <c r="B62" s="14" t="inlineStr">
        <is>
          <t>DK.ENT.AI.SME</t>
        </is>
      </c>
      <c r="C62" s="15" t="inlineStr">
        <is>
          <t>SMEs adopting AI</t>
        </is>
      </c>
      <c r="D62" s="13" t="inlineStr">
        <is>
          <t>DK</t>
        </is>
      </c>
      <c r="E62" s="13" t="n">
        <v>2025</v>
      </c>
      <c r="F62" s="16" t="n">
        <v>40.99</v>
      </c>
      <c r="G62" s="13" t="inlineStr">
        <is>
          <t>%</t>
        </is>
      </c>
      <c r="H62" s="15" t="inlineStr">
        <is>
          <t>% of SMEs (10-249)</t>
        </is>
      </c>
      <c r="I62" s="13" t="inlineStr"/>
      <c r="J62" s="14" t="inlineStr">
        <is>
          <t>EC1</t>
        </is>
      </c>
      <c r="K62" s="13" t="inlineStr">
        <is>
          <t>2026-09-12</t>
        </is>
      </c>
      <c r="L62" s="15" t="inlineStr"/>
    </row>
    <row r="63">
      <c r="A63" s="13" t="n">
        <v>62</v>
      </c>
      <c r="B63" s="14" t="inlineStr">
        <is>
          <t>DK.GOV.DPS.CIT</t>
        </is>
      </c>
      <c r="C63" s="15" t="inlineStr">
        <is>
          <t>Digital public services for citizens (score)</t>
        </is>
      </c>
      <c r="D63" s="13" t="inlineStr">
        <is>
          <t>DK</t>
        </is>
      </c>
      <c r="E63" s="13" t="n">
        <v>2025</v>
      </c>
      <c r="F63" s="16" t="n">
        <v>82.2</v>
      </c>
      <c r="G63" s="13" t="inlineStr">
        <is>
          <t>score 0-100</t>
        </is>
      </c>
      <c r="H63" s="15" t="inlineStr">
        <is>
          <t>eGovernment Benchmark score</t>
        </is>
      </c>
      <c r="I63" s="13" t="inlineStr"/>
      <c r="J63" s="14" t="inlineStr">
        <is>
          <t>EC1</t>
        </is>
      </c>
      <c r="K63" s="13" t="inlineStr">
        <is>
          <t>2026-09-12</t>
        </is>
      </c>
      <c r="L63" s="15" t="inlineStr">
        <is>
          <t>BELOW the EU average of 84.64.</t>
        </is>
      </c>
    </row>
    <row r="64">
      <c r="A64" s="13" t="n">
        <v>63</v>
      </c>
      <c r="B64" s="14" t="inlineStr">
        <is>
          <t>EU.GOV.DPS.CIT</t>
        </is>
      </c>
      <c r="C64" s="15" t="inlineStr">
        <is>
          <t>Digital public services for citizens (score)</t>
        </is>
      </c>
      <c r="D64" s="13" t="inlineStr">
        <is>
          <t>EU27</t>
        </is>
      </c>
      <c r="E64" s="13" t="n">
        <v>2025</v>
      </c>
      <c r="F64" s="16" t="n">
        <v>84.64</v>
      </c>
      <c r="G64" s="13" t="inlineStr">
        <is>
          <t>score 0-100</t>
        </is>
      </c>
      <c r="H64" s="15" t="inlineStr">
        <is>
          <t>eGovernment Benchmark score</t>
        </is>
      </c>
      <c r="I64" s="13" t="inlineStr"/>
      <c r="J64" s="14" t="inlineStr">
        <is>
          <t>EC1</t>
        </is>
      </c>
      <c r="K64" s="13" t="inlineStr">
        <is>
          <t>2026-09-12</t>
        </is>
      </c>
      <c r="L64" s="15" t="inlineStr"/>
    </row>
    <row r="65">
      <c r="A65" s="13" t="n">
        <v>64</v>
      </c>
      <c r="B65" s="14" t="inlineStr">
        <is>
          <t>DK.GOV.DPS.XB</t>
        </is>
      </c>
      <c r="C65" s="15" t="inlineStr">
        <is>
          <t>Cross-border digital public services, citizens (score)</t>
        </is>
      </c>
      <c r="D65" s="13" t="inlineStr">
        <is>
          <t>DK</t>
        </is>
      </c>
      <c r="E65" s="13" t="n">
        <v>2025</v>
      </c>
      <c r="F65" s="16" t="n">
        <v>64.40000000000001</v>
      </c>
      <c r="G65" s="13" t="inlineStr">
        <is>
          <t>score 0-100</t>
        </is>
      </c>
      <c r="H65" s="15" t="inlineStr">
        <is>
          <t>eGovernment Benchmark score</t>
        </is>
      </c>
      <c r="I65" s="13" t="inlineStr"/>
      <c r="J65" s="14" t="inlineStr">
        <is>
          <t>EC1</t>
        </is>
      </c>
      <c r="K65" s="13" t="inlineStr">
        <is>
          <t>2026-09-12</t>
        </is>
      </c>
      <c r="L65" s="15" t="inlineStr">
        <is>
          <t>EU average 75.28.</t>
        </is>
      </c>
    </row>
    <row r="66">
      <c r="A66" s="13" t="n">
        <v>65</v>
      </c>
      <c r="B66" s="14" t="inlineStr">
        <is>
          <t>DK.ENV.WEEE</t>
        </is>
      </c>
      <c r="C66" s="15" t="inlineStr">
        <is>
          <t>ICT waste recycled or prepared for reuse</t>
        </is>
      </c>
      <c r="D66" s="13" t="inlineStr">
        <is>
          <t>DK</t>
        </is>
      </c>
      <c r="E66" s="13" t="n">
        <v>2023</v>
      </c>
      <c r="F66" s="16" t="n">
        <v>15.37</v>
      </c>
      <c r="G66" s="13" t="inlineStr">
        <is>
          <t>%</t>
        </is>
      </c>
      <c r="H66" s="15" t="inlineStr">
        <is>
          <t>% of ICT-related WEEE collected</t>
        </is>
      </c>
      <c r="I66" s="13" t="inlineStr"/>
      <c r="J66" s="14" t="inlineStr">
        <is>
          <t>EC1</t>
        </is>
      </c>
      <c r="K66" s="13" t="inlineStr">
        <is>
          <t>2026-09-12</t>
        </is>
      </c>
      <c r="L66" s="15" t="inlineStr">
        <is>
          <t>Among the lowest in the EU; EU average 80.23%.</t>
        </is>
      </c>
    </row>
    <row r="67">
      <c r="A67" s="13" t="n">
        <v>66</v>
      </c>
      <c r="B67" s="14" t="inlineStr">
        <is>
          <t>EU.ENV.WEEE</t>
        </is>
      </c>
      <c r="C67" s="15" t="inlineStr">
        <is>
          <t>ICT waste recycled or prepared for reuse</t>
        </is>
      </c>
      <c r="D67" s="13" t="inlineStr">
        <is>
          <t>EU27</t>
        </is>
      </c>
      <c r="E67" s="13" t="n">
        <v>2023</v>
      </c>
      <c r="F67" s="16" t="n">
        <v>80.23</v>
      </c>
      <c r="G67" s="13" t="inlineStr">
        <is>
          <t>%</t>
        </is>
      </c>
      <c r="H67" s="15" t="inlineStr">
        <is>
          <t>% of ICT-related WEEE collected</t>
        </is>
      </c>
      <c r="I67" s="13" t="inlineStr"/>
      <c r="J67" s="14" t="inlineStr">
        <is>
          <t>EC1</t>
        </is>
      </c>
      <c r="K67" s="13" t="inlineStr">
        <is>
          <t>2026-09-12</t>
        </is>
      </c>
      <c r="L67" s="15" t="inlineStr"/>
    </row>
    <row r="68">
      <c r="A68" s="18" t="n">
        <v>67</v>
      </c>
      <c r="B68" s="19" t="inlineStr">
        <is>
          <t>DK.SME.SMVD.PROJ</t>
        </is>
      </c>
      <c r="C68" s="20" t="inlineStr">
        <is>
          <t>SMV:Digital projects supported since 2018</t>
        </is>
      </c>
      <c r="D68" s="18" t="inlineStr">
        <is>
          <t>DK</t>
        </is>
      </c>
      <c r="E68" s="18" t="n">
        <v>2025</v>
      </c>
      <c r="F68" s="21" t="n">
        <v>7000</v>
      </c>
      <c r="G68" s="18" t="inlineStr">
        <is>
          <t>count</t>
        </is>
      </c>
      <c r="H68" s="20" t="inlineStr">
        <is>
          <t>digitalisation projects</t>
        </is>
      </c>
      <c r="I68" s="18" t="inlineStr">
        <is>
          <t>e</t>
        </is>
      </c>
      <c r="J68" s="19" t="inlineStr">
        <is>
          <t>DG3</t>
        </is>
      </c>
      <c r="K68" s="18" t="inlineStr">
        <is>
          <t>2026-09-12</t>
        </is>
      </c>
      <c r="L68" s="20" t="inlineStr">
        <is>
          <t>Source states 'knap 7.000' (just under 7,000).</t>
        </is>
      </c>
    </row>
    <row r="69">
      <c r="A69" s="13" t="n">
        <v>68</v>
      </c>
      <c r="B69" s="14" t="inlineStr">
        <is>
          <t>DK.SME.SMVD.INV</t>
        </is>
      </c>
      <c r="C69" s="15" t="inlineStr">
        <is>
          <t>Participants who invested further during the project</t>
        </is>
      </c>
      <c r="D69" s="13" t="inlineStr">
        <is>
          <t>DK</t>
        </is>
      </c>
      <c r="E69" s="13" t="n">
        <v>2025</v>
      </c>
      <c r="F69" s="16" t="n">
        <v>65</v>
      </c>
      <c r="G69" s="13" t="inlineStr">
        <is>
          <t>%</t>
        </is>
      </c>
      <c r="H69" s="15" t="inlineStr">
        <is>
          <t>% of participating enterprises</t>
        </is>
      </c>
      <c r="I69" s="13" t="inlineStr"/>
      <c r="J69" s="14" t="inlineStr">
        <is>
          <t>DG3</t>
        </is>
      </c>
      <c r="K69" s="13" t="inlineStr">
        <is>
          <t>2026-09-12</t>
        </is>
      </c>
      <c r="L69" s="15" t="inlineStr"/>
    </row>
    <row r="70">
      <c r="A70" s="13" t="n">
        <v>69</v>
      </c>
      <c r="B70" s="14" t="inlineStr">
        <is>
          <t>DK.SME.SMVD.NOINV</t>
        </is>
      </c>
      <c r="C70" s="15" t="inlineStr">
        <is>
          <t>Participants with no further investment plans</t>
        </is>
      </c>
      <c r="D70" s="13" t="inlineStr">
        <is>
          <t>DK</t>
        </is>
      </c>
      <c r="E70" s="13" t="n">
        <v>2025</v>
      </c>
      <c r="F70" s="16" t="n">
        <v>2</v>
      </c>
      <c r="G70" s="13" t="inlineStr">
        <is>
          <t>%</t>
        </is>
      </c>
      <c r="H70" s="15" t="inlineStr">
        <is>
          <t>% of participating enterprises</t>
        </is>
      </c>
      <c r="I70" s="13" t="inlineStr"/>
      <c r="J70" s="14" t="inlineStr">
        <is>
          <t>DG3</t>
        </is>
      </c>
      <c r="K70" s="13" t="inlineStr">
        <is>
          <t>2026-09-12</t>
        </is>
      </c>
      <c r="L70" s="15" t="inlineStr"/>
    </row>
  </sheetData>
  <autoFilter ref="A1:L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Danskerne betaler mere digitalt - det goer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goer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EC1</t>
        </is>
      </c>
      <c r="B10" s="15" t="inlineStr">
        <is>
          <t>European Commission</t>
        </is>
      </c>
      <c r="C10" s="15" t="inlineStr">
        <is>
          <t>Digital Decade 2026 country report: Denmark, SWD(2026) 155 final, Part 7/27, 17 June 2026</t>
        </is>
      </c>
      <c r="D10" s="15" t="inlineStr">
        <is>
          <t>DESI 2026</t>
        </is>
      </c>
      <c r="E10" s="15" t="inlineStr">
        <is>
          <t>https://digital-strategy.ec.europa.eu/en/policies/desi</t>
        </is>
      </c>
      <c r="F10" s="15" t="inlineStr">
        <is>
          <t>2026-09-12</t>
        </is>
      </c>
      <c r="G10" s="15" t="inlineStr">
        <is>
          <t>European Commission 2026, Digital Decade 2026 country report: Denmark, SWD(2026) 155 final, Part 7/27, European Commission, Brussels.</t>
        </is>
      </c>
    </row>
    <row r="11" ht="46" customHeight="1">
      <c r="A11" s="23" t="inlineStr">
        <is>
          <t>DG1</t>
        </is>
      </c>
      <c r="B11" s="15" t="inlineStr">
        <is>
          <t>Digitaliseringsstyrelsen (Danish Agency for Digital Government)</t>
        </is>
      </c>
      <c r="C11" s="15" t="inlineStr">
        <is>
          <t>Statistik om Digital Post</t>
        </is>
      </c>
      <c r="D11" s="15" t="inlineStr"/>
      <c r="E11" s="15" t="inlineStr">
        <is>
          <t>https://digst.dk/tal-og-statistik/</t>
        </is>
      </c>
      <c r="F11" s="15" t="inlineStr">
        <is>
          <t>2026-09-12</t>
        </is>
      </c>
      <c r="G11" s="15" t="inlineStr">
        <is>
          <t>Digitaliseringsstyrelsen 2026, Statistik om Digital Post, Agency for Digital Government, Copenhagen, accessed 12 September 2026.</t>
        </is>
      </c>
    </row>
    <row r="12" ht="46" customHeight="1">
      <c r="A12" s="23" t="inlineStr">
        <is>
          <t>DG2</t>
        </is>
      </c>
      <c r="B12" s="15" t="inlineStr">
        <is>
          <t>Digitaliseringsstyrelsen (Danish Agency for Digital Government)</t>
        </is>
      </c>
      <c r="C12" s="15" t="inlineStr">
        <is>
          <t>Hvem oplever udfordringer ved det digitale?</t>
        </is>
      </c>
      <c r="D12" s="15" t="inlineStr"/>
      <c r="E12" s="15" t="inlineStr">
        <is>
          <t>https://digst.dk/digital-inklusion/viden-om-digital-inklusion/hvem-oplever-udfordringer-ved-det-digitale/</t>
        </is>
      </c>
      <c r="F12" s="15" t="inlineStr">
        <is>
          <t>2026-09-12</t>
        </is>
      </c>
      <c r="G12" s="15" t="inlineStr">
        <is>
          <t>Digitaliseringsstyrelsen 2025, Hvem oplever udfordringer ved det digitale?, Agency for Digital Government, Copenhagen, accessed 12 September 2026.</t>
        </is>
      </c>
    </row>
    <row r="13" ht="46" customHeight="1">
      <c r="A13" s="23" t="inlineStr">
        <is>
          <t>DG3</t>
        </is>
      </c>
      <c r="B13" s="15" t="inlineStr">
        <is>
          <t>Digitaliseringsstyrelsen / Danmarks Statistik</t>
        </is>
      </c>
      <c r="C13" s="15" t="inlineStr">
        <is>
          <t>Effektmaaling af SMV:Digital, June 2025</t>
        </is>
      </c>
      <c r="D13" s="15" t="inlineStr"/>
      <c r="E13" s="15" t="inlineStr">
        <is>
          <t>https://digst.dk/media/yz2ouzzz/effektmaaling-af-smvdigital-2025.pdf</t>
        </is>
      </c>
      <c r="F13" s="15" t="inlineStr">
        <is>
          <t>2026-09-12</t>
        </is>
      </c>
      <c r="G13" s="15" t="inlineStr">
        <is>
          <t>Digitaliseringsstyrelsen 2025, Effektmaaling af SMV:Digital, prepared by Danmarks Statistik, Agency for Digital Government, Copenhagen, accessed 12 September 2026.</t>
        </is>
      </c>
    </row>
    <row r="14" ht="46" customHeight="1">
      <c r="A14" s="23" t="inlineStr">
        <is>
          <t>JU1</t>
        </is>
      </c>
      <c r="B14" s="15" t="inlineStr">
        <is>
          <t>Justitia (independent Danish legal think tank)</t>
        </is>
      </c>
      <c r="C14" s="15" t="inlineStr">
        <is>
          <t>Retssikkerhed for digitalt udsatte borgere, July 2022</t>
        </is>
      </c>
      <c r="D14" s="15" t="inlineStr">
        <is>
          <t>Folketinget DIU Alm.del bilag 32</t>
        </is>
      </c>
      <c r="E14" s="15" t="inlineStr">
        <is>
          <t>https://justitia-int.org/wp-content/uploads/2022/09/Rapport_Retssikkerhed-for-digitalt-udsatte-borgere-1.pdf</t>
        </is>
      </c>
      <c r="F14" s="15" t="inlineStr">
        <is>
          <t>2026-09-12</t>
        </is>
      </c>
      <c r="G14" s="15" t="inlineStr">
        <is>
          <t>Justitia 2022, Retssikkerhed for digitalt udsatte borgere, Justitia, Copenhagen, accessed 12 September 2026.</t>
        </is>
      </c>
    </row>
    <row r="15" ht="46" customHeight="1">
      <c r="A15" s="23" t="inlineStr">
        <is>
          <t>IMR1</t>
        </is>
      </c>
      <c r="B15" s="15" t="inlineStr">
        <is>
          <t>Institut for Menneskerettigheder (Danish Institute for Human Rights)</t>
        </is>
      </c>
      <c r="C15" s="15" t="inlineStr">
        <is>
          <t>Rettigheder i den digitale velfaerdsstat, December 2023</t>
        </is>
      </c>
      <c r="D15" s="15" t="inlineStr"/>
      <c r="E15" s="15" t="inlineStr">
        <is>
          <t>https://menneskeret.dk/sites/menneskeret.dk/files/media/document/Rettigheder%20i%20den%20digitale%20velf%C3%A6rdsstat.%20Analyse,%20Institut%20for%20Menneskerettigheder,%20december%202023.PDF</t>
        </is>
      </c>
      <c r="F15" s="15" t="inlineStr">
        <is>
          <t>2026-09-12</t>
        </is>
      </c>
      <c r="G15" s="15" t="inlineStr">
        <is>
          <t>Institut for Menneskerettigheder 2023, Rettigheder i den digitale velfaerdsstat, Danish Institute for Human Rights, Copenhagen, accessed 12 September 2026.</t>
        </is>
      </c>
    </row>
    <row r="16" ht="46" customHeight="1">
      <c r="A16" s="23" t="inlineStr">
        <is>
          <t>RI1</t>
        </is>
      </c>
      <c r="B16" s="15" t="inlineStr">
        <is>
          <t>Retsinformation (Danish official legal information portal)</t>
        </is>
      </c>
      <c r="C16" s="15" t="inlineStr">
        <is>
          <t>Lov om Offentlig Digital Post, LOV nr 528 af 11/06/2012</t>
        </is>
      </c>
      <c r="D16" s="15" t="inlineStr">
        <is>
          <t>ELI: lta/2012/528</t>
        </is>
      </c>
      <c r="E16" s="15" t="inlineStr">
        <is>
          <t>https://www.retsinformation.dk/eli/lta/2012/528</t>
        </is>
      </c>
      <c r="F16" s="15" t="inlineStr">
        <is>
          <t>2026-09-12</t>
        </is>
      </c>
      <c r="G16" s="15" t="inlineStr">
        <is>
          <t>Denmark 2012, Lov om Offentlig Digital Post (LOV nr 528 af 11/06/2012), Retsinformation, Copenhagen, accessed 12 September 2026.</t>
        </is>
      </c>
    </row>
    <row r="17" ht="46" customHeight="1">
      <c r="A17" s="23" t="inlineStr">
        <is>
          <t>DST1</t>
        </is>
      </c>
      <c r="B17" s="15" t="inlineStr">
        <is>
          <t>Danmarks Statistik</t>
        </is>
      </c>
      <c r="C17" s="15" t="inlineStr">
        <is>
          <t>Detailomsaetningsindeks (retail trade turnover index)</t>
        </is>
      </c>
      <c r="D17" s="15" t="inlineStr">
        <is>
          <t>StatBank; base year rebased 2015 -&gt; 2021</t>
        </is>
      </c>
      <c r="E17" s="15" t="inlineStr">
        <is>
          <t>https://www.dst.dk/da/Statistik/dokumentation/statistikdokumentation/detailomsaetningsindeks</t>
        </is>
      </c>
      <c r="F17" s="15" t="inlineStr">
        <is>
          <t>2026-09-12</t>
        </is>
      </c>
      <c r="G17" s="15" t="inlineStr">
        <is>
          <t>Danmarks Statistik 2025, Detailomsaetningsindeks, Statistics Denmark, Copenhagen, accessed 12 September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44" customHeight="1">
      <c r="A2" s="24" t="inlineStr">
        <is>
          <t>DK.PAY.CASH.POS</t>
        </is>
      </c>
      <c r="B2" s="15" t="inlineStr">
        <is>
          <t>Cash as a share of the NUMBER of payments made at physical points of sale.</t>
        </is>
      </c>
      <c r="C2" s="15" t="inlineStr">
        <is>
          <t>Not a share of value. Excludes e-commerce entirely.</t>
        </is>
      </c>
    </row>
    <row r="3" ht="44" customHeight="1">
      <c r="A3" s="24" t="inlineStr">
        <is>
          <t>DK.PAY.CRD.PHYS</t>
        </is>
      </c>
      <c r="B3" s="15" t="inlineStr">
        <is>
          <t>Physical payment cards as a share of the number of in-store payments.</t>
        </is>
      </c>
      <c r="C3" s="15" t="inlineStr">
        <is>
          <t>Falls partly because wallets replace the physical card, not because card payment declines.</t>
        </is>
      </c>
    </row>
    <row r="4" ht="44" customHeight="1">
      <c r="A4" s="24" t="inlineStr">
        <is>
          <t>DK.PAY.WLT.SHR</t>
        </is>
      </c>
      <c r="B4" s="15" t="inlineStr">
        <is>
          <t>Card-based mobile wallets as a share of the number of in-store payments.</t>
        </is>
      </c>
      <c r="C4" s="15" t="inlineStr">
        <is>
          <t>Wallet payments are card payments. Do not add to the card share.</t>
        </is>
      </c>
    </row>
    <row r="5" ht="44" customHeight="1">
      <c r="A5" s="24" t="inlineStr">
        <is>
          <t>DK.PAY.WLT.OWN</t>
        </is>
      </c>
      <c r="B5" s="15" t="inlineStr">
        <is>
          <t>Share of CITIZENS with a wallet solution on their phone.</t>
        </is>
      </c>
      <c r="C5" s="15" t="inlineStr">
        <is>
          <t>Different denominator from the payment-share series. Memo only - deliberately excluded from Figure 2.</t>
        </is>
      </c>
    </row>
    <row r="6" ht="44" customHeight="1">
      <c r="A6" s="24" t="inlineStr">
        <is>
          <t>DK.FIN.BRCH</t>
        </is>
      </c>
      <c r="B6" s="15" t="inlineStr">
        <is>
          <t>Number of retail bank branches operated by Danish credit institutions.</t>
        </is>
      </c>
      <c r="C6" s="15" t="inlineStr">
        <is>
          <t>Consolidation and digitalisation both reduce this. The series alone cannot separate the two causes.</t>
        </is>
      </c>
    </row>
    <row r="7" ht="44" customHeight="1">
      <c r="A7" s="24" t="inlineStr">
        <is>
          <t>DK.ECM.IND.BUY</t>
        </is>
      </c>
      <c r="B7" s="15" t="inlineStr">
        <is>
          <t>Individuals who purchased goods or services online in the last 12 months.</t>
        </is>
      </c>
      <c r="C7" s="15" t="inlineStr">
        <is>
          <t>DENOMINATOR BREAK at 2020: % of individuals before, % of internet users after. Never plot 2019 with later years.</t>
        </is>
      </c>
    </row>
    <row r="8" ht="44" customHeight="1">
      <c r="A8" s="24" t="inlineStr">
        <is>
          <t>DK.ECM.ENT.TRN</t>
        </is>
      </c>
      <c r="B8" s="15" t="inlineStr">
        <is>
          <t>E-commerce sales as a share of total enterprise turnover.</t>
        </is>
      </c>
      <c r="C8" s="15" t="inlineStr">
        <is>
          <t>Measures INTENSITY of online selling, not how many firms sell online. Pair with DK.ECM.ENT.SHR.</t>
        </is>
      </c>
    </row>
    <row r="9" ht="44" customHeight="1">
      <c r="A9" s="24" t="inlineStr">
        <is>
          <t>DK.ECM.ENT.SHR</t>
        </is>
      </c>
      <c r="B9" s="15" t="inlineStr">
        <is>
          <t>Share of enterprises making any e-sales.</t>
        </is>
      </c>
      <c r="C9" s="15" t="inlineStr">
        <is>
          <t>Measures BREADTH of adoption. Flat breadth with rising intensity means incumbents deepening, not new entrants.</t>
        </is>
      </c>
    </row>
    <row r="10" ht="44" customHeight="1">
      <c r="A10" s="24" t="inlineStr">
        <is>
          <t>DK.DGP.EXMP</t>
        </is>
      </c>
      <c r="B10" s="15" t="inlineStr">
        <is>
          <t>Citizens formally exempt from mandatory Digital Post under the statutory exemption regime.</t>
        </is>
      </c>
      <c r="C10" s="15" t="inlineStr">
        <is>
          <t>An administrative status, not a measure of capability. A citizen may struggle without being exempt.</t>
        </is>
      </c>
    </row>
    <row r="11" ht="44" customHeight="1">
      <c r="A11" s="24" t="inlineStr">
        <is>
          <t>DK.DGX.DIFF</t>
        </is>
      </c>
      <c r="B11" s="15" t="inlineStr">
        <is>
          <t>Population estimated to face difficulties using digital public services.</t>
        </is>
      </c>
      <c r="C11" s="15" t="inlineStr">
        <is>
          <t>A capability estimate, not an administrative count. Much larger than the exemption rate - that gap is the analytical point.</t>
        </is>
      </c>
    </row>
    <row r="12" ht="44" customHeight="1">
      <c r="A12" s="24" t="inlineStr">
        <is>
          <t>DK.DGX.JUST</t>
        </is>
      </c>
      <c r="B12" s="15" t="inlineStr">
        <is>
          <t>Justitia's estimate of the digitally disadvantaged adult population.</t>
        </is>
      </c>
      <c r="C12" s="15" t="inlineStr">
        <is>
          <t>Think-tank estimate, broadest definition of the five. Cite as an upper bound, not as an official statistic.</t>
        </is>
      </c>
    </row>
    <row r="13" ht="44" customHeight="1">
      <c r="A13" s="24" t="inlineStr">
        <is>
          <t>DK.GOV.DPS.CIT</t>
        </is>
      </c>
      <c r="B13" s="15" t="inlineStr">
        <is>
          <t>eGovernment Benchmark composite score for citizen-facing digital public services.</t>
        </is>
      </c>
      <c r="C13" s="15" t="inlineStr">
        <is>
          <t>A composite index, not a usage rate. Denmark scores BELOW the EU average despite near-universal mandated use.</t>
        </is>
      </c>
    </row>
    <row r="14" ht="44" customHeight="1">
      <c r="A14" s="24" t="inlineStr">
        <is>
          <t>DK.ENV.WEEE</t>
        </is>
      </c>
      <c r="B14" s="15" t="inlineStr">
        <is>
          <t>Share of collected ICT-related electrical waste recycled or prepared for reuse.</t>
        </is>
      </c>
      <c r="C14" s="15" t="inlineStr">
        <is>
          <t>Covers two WEEE categories only. Denominator is waste COLLECTED, not waste generated.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0"/>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5"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6" t="inlineStr">
        <is>
          <t>Bank branches, 2004</t>
        </is>
      </c>
      <c r="B5" s="27">
        <f>IF(COUNTIFS('02_MASTER'!$B:$B,"DK.FIN.BRCH",'02_MASTER'!$E:$E,2004)=0,"",SUMIFS('02_MASTER'!$F:$F,'02_MASTER'!$B:$B,"DK.FIN.BRCH",'02_MASTER'!$E:$E,2004))</f>
        <v/>
      </c>
      <c r="C5" s="28" t="inlineStr">
        <is>
          <t>count</t>
        </is>
      </c>
      <c r="D5" s="29" t="inlineStr">
        <is>
          <t>Direct lookup from 02_MASTER.</t>
        </is>
      </c>
    </row>
    <row r="6" ht="30" customHeight="1">
      <c r="A6" s="26" t="inlineStr">
        <is>
          <t>Bank branches, 2024</t>
        </is>
      </c>
      <c r="B6" s="27">
        <f>IF(COUNTIFS('02_MASTER'!$B:$B,"DK.FIN.BRCH",'02_MASTER'!$E:$E,2024)=0,"",SUMIFS('02_MASTER'!$F:$F,'02_MASTER'!$B:$B,"DK.FIN.BRCH",'02_MASTER'!$E:$E,2024))</f>
        <v/>
      </c>
      <c r="C6" s="28" t="inlineStr">
        <is>
          <t>count</t>
        </is>
      </c>
      <c r="D6" s="29" t="inlineStr">
        <is>
          <t>Direct lookup from 02_MASTER.</t>
        </is>
      </c>
    </row>
    <row r="7" ht="30" customHeight="1">
      <c r="A7" s="26" t="inlineStr">
        <is>
          <t>Branch network change, 2004-2024</t>
        </is>
      </c>
      <c r="B7" s="30">
        <f>(IF(COUNTIFS('02_MASTER'!$B:$B,"DK.FIN.BRCH",'02_MASTER'!$E:$E,2024)=0,"",SUMIFS('02_MASTER'!$F:$F,'02_MASTER'!$B:$B,"DK.FIN.BRCH",'02_MASTER'!$E:$E,2024))/IF(COUNTIFS('02_MASTER'!$B:$B,"DK.FIN.BRCH",'02_MASTER'!$E:$E,2004)=0,"",SUMIFS('02_MASTER'!$F:$F,'02_MASTER'!$B:$B,"DK.FIN.BRCH",'02_MASTER'!$E:$E,2004)))-1</f>
        <v/>
      </c>
      <c r="C7" s="28" t="inlineStr">
        <is>
          <t>%</t>
        </is>
      </c>
      <c r="D7" s="29" t="inlineStr">
        <is>
          <t>Headline structural change for Figure 1.</t>
        </is>
      </c>
    </row>
    <row r="8" ht="30" customHeight="1">
      <c r="A8" s="26" t="inlineStr">
        <is>
          <t>Cash share change, 2017-2025</t>
        </is>
      </c>
      <c r="B8" s="31">
        <f>IF(COUNTIFS('02_MASTER'!$B:$B,"DK.PAY.CASH.POS",'02_MASTER'!$E:$E,2025)=0,"",SUMIFS('02_MASTER'!$F:$F,'02_MASTER'!$B:$B,"DK.PAY.CASH.POS",'02_MASTER'!$E:$E,2025))-IF(COUNTIFS('02_MASTER'!$B:$B,"DK.PAY.CASH.POS",'02_MASTER'!$E:$E,2017)=0,"",SUMIFS('02_MASTER'!$F:$F,'02_MASTER'!$B:$B,"DK.PAY.CASH.POS",'02_MASTER'!$E:$E,2017))</f>
        <v/>
      </c>
      <c r="C8" s="28" t="inlineStr">
        <is>
          <t>pp</t>
        </is>
      </c>
      <c r="D8" s="29" t="inlineStr">
        <is>
          <t>Percentage-point change, not a growth rate - both terms are shares.</t>
        </is>
      </c>
    </row>
    <row r="9" ht="30" customHeight="1">
      <c r="A9" s="26" t="inlineStr">
        <is>
          <t>Cash share, proportional decline 2017-2025</t>
        </is>
      </c>
      <c r="B9" s="30">
        <f>(IF(COUNTIFS('02_MASTER'!$B:$B,"DK.PAY.CASH.POS",'02_MASTER'!$E:$E,2025)=0,"",SUMIFS('02_MASTER'!$F:$F,'02_MASTER'!$B:$B,"DK.PAY.CASH.POS",'02_MASTER'!$E:$E,2025))/IF(COUNTIFS('02_MASTER'!$B:$B,"DK.PAY.CASH.POS",'02_MASTER'!$E:$E,2017)=0,"",SUMIFS('02_MASTER'!$F:$F,'02_MASTER'!$B:$B,"DK.PAY.CASH.POS",'02_MASTER'!$E:$E,2017)))-1</f>
        <v/>
      </c>
      <c r="C9" s="28" t="inlineStr">
        <is>
          <t>%</t>
        </is>
      </c>
      <c r="D9" s="29" t="inlineStr">
        <is>
          <t>Cash fell to roughly a third of its 2017 share.</t>
        </is>
      </c>
    </row>
    <row r="10" ht="30" customHeight="1">
      <c r="A10" s="26" t="inlineStr">
        <is>
          <t>DK e-sales turnover share, change 2014-2024</t>
        </is>
      </c>
      <c r="B10" s="30">
        <f>(IF(COUNTIFS('02_MASTER'!$B:$B,"DK.ECM.ENT.TRN",'02_MASTER'!$E:$E,2024)=0,"",SUMIFS('02_MASTER'!$F:$F,'02_MASTER'!$B:$B,"DK.ECM.ENT.TRN",'02_MASTER'!$E:$E,2024))/IF(COUNTIFS('02_MASTER'!$B:$B,"DK.ECM.ENT.TRN",'02_MASTER'!$E:$E,2014)=0,"",SUMIFS('02_MASTER'!$F:$F,'02_MASTER'!$B:$B,"DK.ECM.ENT.TRN",'02_MASTER'!$E:$E,2014)))-1</f>
        <v/>
      </c>
      <c r="C10" s="28" t="inlineStr">
        <is>
          <t>%</t>
        </is>
      </c>
      <c r="D10" s="29" t="inlineStr">
        <is>
          <t>Tests the 'enterprise plateau' claim. Intensity nearly doubled.</t>
        </is>
      </c>
    </row>
    <row r="11" ht="30" customHeight="1">
      <c r="A11" s="26" t="inlineStr">
        <is>
          <t>EU e-sales turnover share, change 2014-2024</t>
        </is>
      </c>
      <c r="B11" s="30">
        <f>(IF(COUNTIFS('02_MASTER'!$B:$B,"EU.ECM.ENT.TRN",'02_MASTER'!$E:$E,2024)=0,"",SUMIFS('02_MASTER'!$F:$F,'02_MASTER'!$B:$B,"EU.ECM.ENT.TRN",'02_MASTER'!$E:$E,2024))/IF(COUNTIFS('02_MASTER'!$B:$B,"EU.ECM.ENT.TRN",'02_MASTER'!$E:$E,2014)=0,"",SUMIFS('02_MASTER'!$F:$F,'02_MASTER'!$B:$B,"EU.ECM.ENT.TRN",'02_MASTER'!$E:$E,2014)))-1</f>
        <v/>
      </c>
      <c r="C11" s="28" t="inlineStr">
        <is>
          <t>%</t>
        </is>
      </c>
      <c r="D11" s="29" t="inlineStr">
        <is>
          <t>Comparator for the line above.</t>
        </is>
      </c>
    </row>
    <row r="12" ht="30" customHeight="1">
      <c r="A12" s="26" t="inlineStr">
        <is>
          <t>DK lead over EU on e-sales turnover, 2024</t>
        </is>
      </c>
      <c r="B12" s="31">
        <f>IF(COUNTIFS('02_MASTER'!$B:$B,"DK.ECM.ENT.TRN",'02_MASTER'!$E:$E,2024)=0,"",SUMIFS('02_MASTER'!$F:$F,'02_MASTER'!$B:$B,"DK.ECM.ENT.TRN",'02_MASTER'!$E:$E,2024))-IF(COUNTIFS('02_MASTER'!$B:$B,"EU.ECM.ENT.TRN",'02_MASTER'!$E:$E,2024)=0,"",SUMIFS('02_MASTER'!$F:$F,'02_MASTER'!$B:$B,"EU.ECM.ENT.TRN",'02_MASTER'!$E:$E,2024))</f>
        <v/>
      </c>
      <c r="C12" s="28" t="inlineStr">
        <is>
          <t>pp</t>
        </is>
      </c>
      <c r="D12" s="29" t="inlineStr">
        <is>
          <t>Denmark's margin over the EU average.</t>
        </is>
      </c>
    </row>
    <row r="13" ht="30" customHeight="1">
      <c r="A13" s="26" t="inlineStr">
        <is>
          <t>Exclusion ratio: difficulty vs formal exemption</t>
        </is>
      </c>
      <c r="B13" s="31">
        <f>IF(COUNTIFS('02_MASTER'!$B:$B,"DK.DGX.DIFF",'02_MASTER'!$E:$E,2026)=0,"",SUMIFS('02_MASTER'!$F:$F,'02_MASTER'!$B:$B,"DK.DGX.DIFF",'02_MASTER'!$E:$E,2026))/IF(COUNTIFS('02_MASTER'!$B:$B,"DK.DGP.EXMP",'02_MASTER'!$E:$E,2026)=0,"",SUMIFS('02_MASTER'!$F:$F,'02_MASTER'!$B:$B,"DK.DGP.EXMP",'02_MASTER'!$E:$E,2026))</f>
        <v/>
      </c>
      <c r="C13" s="28" t="inlineStr">
        <is>
          <t>ratio</t>
        </is>
      </c>
      <c r="D13" s="29" t="inlineStr">
        <is>
          <t>How many times larger the capability measure is than the administrative one. The core Q4 statistic.</t>
        </is>
      </c>
    </row>
    <row r="14" ht="30" customHeight="1">
      <c r="A14" s="26" t="inlineStr">
        <is>
          <t>Citizens struggling but NOT exempt</t>
        </is>
      </c>
      <c r="B14" s="31">
        <f>IF(COUNTIFS('02_MASTER'!$B:$B,"DK.DGX.DIFF",'02_MASTER'!$E:$E,2026)=0,"",SUMIFS('02_MASTER'!$F:$F,'02_MASTER'!$B:$B,"DK.DGX.DIFF",'02_MASTER'!$E:$E,2026))-IF(COUNTIFS('02_MASTER'!$B:$B,"DK.DGP.EXMP",'02_MASTER'!$E:$E,2026)=0,"",SUMIFS('02_MASTER'!$F:$F,'02_MASTER'!$B:$B,"DK.DGP.EXMP",'02_MASTER'!$E:$E,2026))</f>
        <v/>
      </c>
      <c r="C14" s="28" t="inlineStr">
        <is>
          <t>pp</t>
        </is>
      </c>
      <c r="D14" s="29" t="inlineStr">
        <is>
          <t>Population facing difficulty without statutory relief.</t>
        </is>
      </c>
    </row>
    <row r="15" ht="30" customHeight="1">
      <c r="A15" s="26" t="inlineStr">
        <is>
          <t>Digital skills gap, 16-24 vs 55-74</t>
        </is>
      </c>
      <c r="B15" s="31">
        <f>IF(COUNTIFS('02_MASTER'!$B:$B,"DK.SKL.1624",'02_MASTER'!$E:$E,2025)=0,"",SUMIFS('02_MASTER'!$F:$F,'02_MASTER'!$B:$B,"DK.SKL.1624",'02_MASTER'!$E:$E,2025))-IF(COUNTIFS('02_MASTER'!$B:$B,"DK.SKL.5574",'02_MASTER'!$E:$E,2025)=0,"",SUMIFS('02_MASTER'!$F:$F,'02_MASTER'!$B:$B,"DK.SKL.5574",'02_MASTER'!$E:$E,2025))</f>
        <v/>
      </c>
      <c r="C15" s="28" t="inlineStr">
        <is>
          <t>pp</t>
        </is>
      </c>
      <c r="D15" s="29" t="inlineStr">
        <is>
          <t>Generational gradient in basic digital skills.</t>
        </is>
      </c>
    </row>
    <row r="16" ht="30" customHeight="1">
      <c r="A16" s="26" t="inlineStr">
        <is>
          <t>AI adoption gap, large firms vs SMEs</t>
        </is>
      </c>
      <c r="B16" s="31">
        <f>IF(COUNTIFS('02_MASTER'!$B:$B,"DK.ENT.AI.LRG",'02_MASTER'!$E:$E,2025)=0,"",SUMIFS('02_MASTER'!$F:$F,'02_MASTER'!$B:$B,"DK.ENT.AI.LRG",'02_MASTER'!$E:$E,2025))-IF(COUNTIFS('02_MASTER'!$B:$B,"DK.ENT.AI.SME",'02_MASTER'!$E:$E,2025)=0,"",SUMIFS('02_MASTER'!$F:$F,'02_MASTER'!$B:$B,"DK.ENT.AI.SME",'02_MASTER'!$E:$E,2025))</f>
        <v/>
      </c>
      <c r="C16" s="28" t="inlineStr">
        <is>
          <t>pp</t>
        </is>
      </c>
      <c r="D16" s="29" t="inlineStr">
        <is>
          <t>Depth-of-adoption gap behind the 'breadth without depth' finding.</t>
        </is>
      </c>
    </row>
    <row r="17" ht="30" customHeight="1">
      <c r="A17" s="26" t="inlineStr">
        <is>
          <t>DK shortfall vs EU, citizen digital public services</t>
        </is>
      </c>
      <c r="B17" s="31">
        <f>IF(COUNTIFS('02_MASTER'!$B:$B,"DK.GOV.DPS.CIT",'02_MASTER'!$E:$E,2025)=0,"",SUMIFS('02_MASTER'!$F:$F,'02_MASTER'!$B:$B,"DK.GOV.DPS.CIT",'02_MASTER'!$E:$E,2025))-IF(COUNTIFS('02_MASTER'!$B:$B,"EU.GOV.DPS.CIT",'02_MASTER'!$E:$E,2025)=0,"",SUMIFS('02_MASTER'!$F:$F,'02_MASTER'!$B:$B,"EU.GOV.DPS.CIT",'02_MASTER'!$E:$E,2025))</f>
        <v/>
      </c>
      <c r="C17" s="28" t="inlineStr">
        <is>
          <t>points</t>
        </is>
      </c>
      <c r="D17" s="29" t="inlineStr">
        <is>
          <t>Negative: Denmark scores below the EU average.</t>
        </is>
      </c>
    </row>
    <row r="18" ht="30" customHeight="1">
      <c r="A18" s="26" t="inlineStr">
        <is>
          <t>DK shortfall vs EU, ICT waste recycling</t>
        </is>
      </c>
      <c r="B18" s="31">
        <f>IF(COUNTIFS('02_MASTER'!$B:$B,"DK.ENV.WEEE",'02_MASTER'!$E:$E,2023)=0,"",SUMIFS('02_MASTER'!$F:$F,'02_MASTER'!$B:$B,"DK.ENV.WEEE",'02_MASTER'!$E:$E,2023))-IF(COUNTIFS('02_MASTER'!$B:$B,"EU.ENV.WEEE",'02_MASTER'!$E:$E,2023)=0,"",SUMIFS('02_MASTER'!$F:$F,'02_MASTER'!$B:$B,"EU.ENV.WEEE",'02_MASTER'!$E:$E,2023))</f>
        <v/>
      </c>
      <c r="C18" s="28" t="inlineStr">
        <is>
          <t>pp</t>
        </is>
      </c>
      <c r="D18" s="29" t="inlineStr">
        <is>
          <t>Negative and large - candidate SDG evidence.</t>
        </is>
      </c>
    </row>
    <row r="19" ht="30" customHeight="1">
      <c r="A19" s="26" t="inlineStr">
        <is>
          <t>Trust in digital public solutions, change 2024-2025</t>
        </is>
      </c>
      <c r="B19" s="31">
        <f>IF(COUNTIFS('02_MASTER'!$B:$B,"DK.TRU.DPS",'02_MASTER'!$E:$E,2025)=0,"",SUMIFS('02_MASTER'!$F:$F,'02_MASTER'!$B:$B,"DK.TRU.DPS",'02_MASTER'!$E:$E,2025))-IF(COUNTIFS('02_MASTER'!$B:$B,"DK.TRU.DPS",'02_MASTER'!$E:$E,2024)=0,"",SUMIFS('02_MASTER'!$F:$F,'02_MASTER'!$B:$B,"DK.TRU.DPS",'02_MASTER'!$E:$E,2024))</f>
        <v/>
      </c>
      <c r="C19" s="28" t="inlineStr">
        <is>
          <t>pp</t>
        </is>
      </c>
      <c r="D19" s="29" t="inlineStr">
        <is>
          <t>Trust rising while the mandate is in force.</t>
        </is>
      </c>
    </row>
    <row r="20" ht="30" customHeight="1">
      <c r="A20" s="26" t="inlineStr">
        <is>
          <t>Perceived security of Digital Post, change 2017-2025</t>
        </is>
      </c>
      <c r="B20" s="31">
        <f>IF(COUNTIFS('02_MASTER'!$B:$B,"DK.TRU.DGP.SEC",'02_MASTER'!$E:$E,2025)=0,"",SUMIFS('02_MASTER'!$F:$F,'02_MASTER'!$B:$B,"DK.TRU.DGP.SEC",'02_MASTER'!$E:$E,2025))-IF(COUNTIFS('02_MASTER'!$B:$B,"DK.TRU.DGP.SEC",'02_MASTER'!$E:$E,2017)=0,"",SUMIFS('02_MASTER'!$F:$F,'02_MASTER'!$B:$B,"DK.TRU.DGP.SEC",'02_MASTER'!$E:$E,2017))</f>
        <v/>
      </c>
      <c r="C20" s="28" t="inlineStr">
        <is>
          <t>pp</t>
        </is>
      </c>
      <c r="D20" s="29" t="inlineStr">
        <is>
          <t>Trust in the mandated system over the mandate period (CLO4).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5" t="inlineStr">
        <is>
          <t>Series DK.FIN.BRCH. Values are formula lookups from 02_MASTER.</t>
        </is>
      </c>
    </row>
    <row r="4" ht="28" customHeight="1">
      <c r="A4" s="8" t="inlineStr">
        <is>
          <t>year</t>
        </is>
      </c>
      <c r="B4" s="8" t="inlineStr">
        <is>
          <t>bank branches</t>
        </is>
      </c>
    </row>
    <row r="5">
      <c r="A5" s="26" t="n">
        <v>2004</v>
      </c>
      <c r="B5" s="27">
        <f>IF(COUNTIFS('02_MASTER'!$B:$B,"DK.FIN.BRCH",'02_MASTER'!$E:$E,2004)=0,"",SUMIFS('02_MASTER'!$F:$F,'02_MASTER'!$B:$B,"DK.FIN.BRCH",'02_MASTER'!$E:$E,2004))</f>
        <v/>
      </c>
    </row>
    <row r="6">
      <c r="A6" s="26" t="n">
        <v>2006</v>
      </c>
      <c r="B6" s="27">
        <f>IF(COUNTIFS('02_MASTER'!$B:$B,"DK.FIN.BRCH",'02_MASTER'!$E:$E,2006)=0,"",SUMIFS('02_MASTER'!$F:$F,'02_MASTER'!$B:$B,"DK.FIN.BRCH",'02_MASTER'!$E:$E,2006))</f>
        <v/>
      </c>
    </row>
    <row r="7">
      <c r="A7" s="26" t="n">
        <v>2010</v>
      </c>
      <c r="B7" s="27">
        <f>IF(COUNTIFS('02_MASTER'!$B:$B,"DK.FIN.BRCH",'02_MASTER'!$E:$E,2010)=0,"",SUMIFS('02_MASTER'!$F:$F,'02_MASTER'!$B:$B,"DK.FIN.BRCH",'02_MASTER'!$E:$E,2010))</f>
        <v/>
      </c>
    </row>
    <row r="8">
      <c r="A8" s="26" t="n">
        <v>2016</v>
      </c>
      <c r="B8" s="27">
        <f>IF(COUNTIFS('02_MASTER'!$B:$B,"DK.FIN.BRCH",'02_MASTER'!$E:$E,2016)=0,"",SUMIFS('02_MASTER'!$F:$F,'02_MASTER'!$B:$B,"DK.FIN.BRCH",'02_MASTER'!$E:$E,2016))</f>
        <v/>
      </c>
    </row>
    <row r="9">
      <c r="A9" s="26" t="n">
        <v>2021</v>
      </c>
      <c r="B9" s="27">
        <f>IF(COUNTIFS('02_MASTER'!$B:$B,"DK.FIN.BRCH",'02_MASTER'!$E:$E,2021)=0,"",SUMIFS('02_MASTER'!$F:$F,'02_MASTER'!$B:$B,"DK.FIN.BRCH",'02_MASTER'!$E:$E,2021))</f>
        <v/>
      </c>
    </row>
    <row r="10">
      <c r="A10" s="26" t="n">
        <v>2024</v>
      </c>
      <c r="B10" s="27">
        <f>IF(COUNTIFS('02_MASTER'!$B:$B,"DK.FIN.BRCH",'02_MASTER'!$E:$E,2024)=0,"",SUMIFS('02_MASTER'!$F:$F,'02_MASTER'!$B:$B,"DK.FIN.BRCH",'02_MASTER'!$E:$E,2024))</f>
        <v/>
      </c>
    </row>
    <row r="12">
      <c r="A12" s="32"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30" customWidth="1" min="2" max="2"/>
  </cols>
  <sheetData>
    <row r="1" ht="22" customHeight="1">
      <c r="A1" s="7" t="inlineStr">
        <is>
          <t>Figure 2 - Cash displacement in Danish physical retail</t>
        </is>
      </c>
    </row>
    <row r="2">
      <c r="A2" s="25" t="inlineStr">
        <is>
          <t>Denominator throughout: share of the NUMBER of in-store payments.</t>
        </is>
      </c>
    </row>
    <row r="4">
      <c r="A4" s="3" t="inlineStr">
        <is>
          <t>Panel A - Cash share of in-store payments</t>
        </is>
      </c>
    </row>
    <row r="5" ht="28" customHeight="1">
      <c r="A5" s="8" t="inlineStr">
        <is>
          <t>year</t>
        </is>
      </c>
      <c r="B5" s="8" t="inlineStr">
        <is>
          <t>cash (%)</t>
        </is>
      </c>
    </row>
    <row r="6">
      <c r="A6" s="26" t="n">
        <v>2017</v>
      </c>
      <c r="B6" s="33">
        <f>IF(COUNTIFS('02_MASTER'!$B:$B,"DK.PAY.CASH.POS",'02_MASTER'!$E:$E,2017)=0,"",SUMIFS('02_MASTER'!$F:$F,'02_MASTER'!$B:$B,"DK.PAY.CASH.POS",'02_MASTER'!$E:$E,2017))</f>
        <v/>
      </c>
    </row>
    <row r="7">
      <c r="A7" s="26" t="n">
        <v>2023</v>
      </c>
      <c r="B7" s="33">
        <f>IF(COUNTIFS('02_MASTER'!$B:$B,"DK.PAY.CASH.POS",'02_MASTER'!$E:$E,2023)=0,"",SUMIFS('02_MASTER'!$F:$F,'02_MASTER'!$B:$B,"DK.PAY.CASH.POS",'02_MASTER'!$E:$E,2023))</f>
        <v/>
      </c>
    </row>
    <row r="8">
      <c r="A8" s="26" t="n">
        <v>2025</v>
      </c>
      <c r="B8" s="33">
        <f>IF(COUNTIFS('02_MASTER'!$B:$B,"DK.PAY.CASH.POS",'02_MASTER'!$E:$E,2025)=0,"",SUMIFS('02_MASTER'!$F:$F,'02_MASTER'!$B:$B,"DK.PAY.CASH.POS",'02_MASTER'!$E:$E,2025))</f>
        <v/>
      </c>
    </row>
    <row r="10">
      <c r="A10" s="3" t="inlineStr">
        <is>
          <t>Panel B - Composition of in-store payments, 2025</t>
        </is>
      </c>
    </row>
    <row r="11" ht="28" customHeight="1">
      <c r="A11" s="8" t="inlineStr">
        <is>
          <t>instrument</t>
        </is>
      </c>
      <c r="B11" s="8" t="inlineStr">
        <is>
          <t>share of payments (%)</t>
        </is>
      </c>
    </row>
    <row r="12">
      <c r="A12" s="26" t="inlineStr">
        <is>
          <t>Physical payment card</t>
        </is>
      </c>
      <c r="B12" s="33">
        <f>IF(COUNTIFS('02_MASTER'!$B:$B,"DK.PAY.CRD.PHYS",'02_MASTER'!$E:$E,2025)=0,"",SUMIFS('02_MASTER'!$F:$F,'02_MASTER'!$B:$B,"DK.PAY.CRD.PHYS",'02_MASTER'!$E:$E,2025))</f>
        <v/>
      </c>
    </row>
    <row r="13">
      <c r="A13" s="26" t="inlineStr">
        <is>
          <t>Mobile wallet (card-based)</t>
        </is>
      </c>
      <c r="B13" s="33">
        <f>IF(COUNTIFS('02_MASTER'!$B:$B,"DK.PAY.WLT.SHR",'02_MASTER'!$E:$E,2025)=0,"",SUMIFS('02_MASTER'!$F:$F,'02_MASTER'!$B:$B,"DK.PAY.WLT.SHR",'02_MASTER'!$E:$E,2025))</f>
        <v/>
      </c>
    </row>
    <row r="14">
      <c r="A14" s="26" t="inlineStr">
        <is>
          <t>Cash</t>
        </is>
      </c>
      <c r="B14" s="33">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6" t="n">
        <v>2019</v>
      </c>
      <c r="B18" s="34">
        <f>IF(COUNTIFS('02_MASTER'!$B:$B,"DK.PAY.WLT.OWN",'02_MASTER'!$E:$E,2019)=0,"",SUMIFS('02_MASTER'!$F:$F,'02_MASTER'!$B:$B,"DK.PAY.WLT.OWN",'02_MASTER'!$E:$E,2019))</f>
        <v/>
      </c>
    </row>
    <row r="19">
      <c r="A19" s="26" t="n">
        <v>2023</v>
      </c>
      <c r="B19" s="34">
        <f>IF(COUNTIFS('02_MASTER'!$B:$B,"DK.PAY.WLT.OWN",'02_MASTER'!$E:$E,2023)=0,"",SUMIFS('02_MASTER'!$F:$F,'02_MASTER'!$B:$B,"DK.PAY.WLT.OWN",'02_MASTER'!$E:$E,2023))</f>
        <v/>
      </c>
    </row>
    <row r="20">
      <c r="A20" s="26" t="n">
        <v>2025</v>
      </c>
      <c r="B20" s="34">
        <f>IF(COUNTIFS('02_MASTER'!$B:$B,"DK.PAY.WLT.OWN",'02_MASTER'!$E:$E,2025)=0,"",SUMIFS('02_MASTER'!$F:$F,'02_MASTER'!$B:$B,"DK.PAY.WLT.OWN",'02_MASTER'!$E:$E,2025))</f>
        <v/>
      </c>
    </row>
    <row r="22">
      <c r="A22" s="32"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40" customWidth="1" min="1" max="1"/>
    <col width="14" customWidth="1" min="2" max="2"/>
    <col width="26" customWidth="1" min="3" max="3"/>
  </cols>
  <sheetData>
    <row r="1" ht="22" customHeight="1">
      <c r="A1" s="7" t="inlineStr">
        <is>
          <t>Figure 3 - E-sales as a share of enterprise turnover, DK vs EU</t>
        </is>
      </c>
    </row>
    <row r="2">
      <c r="A2" s="25" t="inlineStr">
        <is>
          <t>Tests the 'enterprise plateau' claim: intensity nearly doubled.</t>
        </is>
      </c>
    </row>
    <row r="4" ht="28" customHeight="1">
      <c r="A4" s="8" t="inlineStr">
        <is>
          <t>year</t>
        </is>
      </c>
      <c r="B4" s="8" t="inlineStr">
        <is>
          <t>Denmark</t>
        </is>
      </c>
      <c r="C4" s="8" t="inlineStr">
        <is>
          <t>EU-27</t>
        </is>
      </c>
    </row>
    <row r="5">
      <c r="A5" s="26" t="n">
        <v>2014</v>
      </c>
      <c r="B5" s="35">
        <f>IF(COUNTIFS('02_MASTER'!$B:$B,"DK.ECM.ENT.TRN",'02_MASTER'!$E:$E,2014)=0,"",SUMIFS('02_MASTER'!$F:$F,'02_MASTER'!$B:$B,"DK.ECM.ENT.TRN",'02_MASTER'!$E:$E,2014))</f>
        <v/>
      </c>
      <c r="C5" s="35">
        <f>IF(COUNTIFS('02_MASTER'!$B:$B,"EU.ECM.ENT.TRN",'02_MASTER'!$E:$E,2014)=0,"",SUMIFS('02_MASTER'!$F:$F,'02_MASTER'!$B:$B,"EU.ECM.ENT.TRN",'02_MASTER'!$E:$E,2014))</f>
        <v/>
      </c>
    </row>
    <row r="6">
      <c r="A6" s="26" t="n">
        <v>2024</v>
      </c>
      <c r="B6" s="35">
        <f>IF(COUNTIFS('02_MASTER'!$B:$B,"DK.ECM.ENT.TRN",'02_MASTER'!$E:$E,2024)=0,"",SUMIFS('02_MASTER'!$F:$F,'02_MASTER'!$B:$B,"DK.ECM.ENT.TRN",'02_MASTER'!$E:$E,2024))</f>
        <v/>
      </c>
      <c r="C6" s="35">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6" t="inlineStr">
        <is>
          <t>Enterprises making e-sales (%)</t>
        </is>
      </c>
      <c r="B11" s="31">
        <f>IF(COUNTIFS('02_MASTER'!$B:$B,"DK.ECM.ENT.SHR",'02_MASTER'!$E:$E,2024)=0,"",SUMIFS('02_MASTER'!$F:$F,'02_MASTER'!$B:$B,"DK.ECM.ENT.SHR",'02_MASTER'!$E:$E,2024))</f>
        <v/>
      </c>
      <c r="C11" s="28" t="inlineStr">
        <is>
          <t>Lithuania 43.03 (highest)</t>
        </is>
      </c>
    </row>
    <row r="12">
      <c r="A12" s="26" t="inlineStr">
        <is>
          <t>E-sales share of turnover (%)</t>
        </is>
      </c>
      <c r="B12" s="31">
        <f>IF(COUNTIFS('02_MASTER'!$B:$B,"DK.ECM.ENT.TRN",'02_MASTER'!$E:$E,2024)=0,"",SUMIFS('02_MASTER'!$F:$F,'02_MASTER'!$B:$B,"DK.ECM.ENT.TRN",'02_MASTER'!$E:$E,2024))</f>
        <v/>
      </c>
      <c r="C12" s="28" t="inlineStr">
        <is>
          <t>Ireland 38.25 (highest)</t>
        </is>
      </c>
    </row>
    <row r="13">
      <c r="A13" s="26" t="inlineStr">
        <is>
          <t>EU average, e-sales share of turnover (%)</t>
        </is>
      </c>
      <c r="B13" s="31">
        <f>IF(COUNTIFS('02_MASTER'!$B:$B,"EU.ECM.ENT.TRN",'02_MASTER'!$E:$E,2024)=0,"",SUMIFS('02_MASTER'!$F:$F,'02_MASTER'!$B:$B,"EU.ECM.ENT.TRN",'02_MASTER'!$E:$E,2024))</f>
        <v/>
      </c>
      <c r="C13" s="28" t="inlineStr"/>
    </row>
    <row r="15">
      <c r="A15" s="32"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46" customWidth="1" min="1" max="1"/>
    <col width="12" customWidth="1" min="2" max="2"/>
    <col width="34" customWidth="1" min="3" max="3"/>
    <col width="10" customWidth="1" min="4" max="4"/>
  </cols>
  <sheetData>
    <row r="1" ht="22" customHeight="1">
      <c r="A1" s="7" t="inlineStr">
        <is>
          <t>Figure 4 - Five measures of digital exclusion in Denmark</t>
        </is>
      </c>
    </row>
    <row r="2">
      <c r="A2" s="25" t="inlineStr">
        <is>
          <t>Same phenomenon, five definitions. The spread is the finding.</t>
        </is>
      </c>
    </row>
    <row r="4" ht="28" customHeight="1">
      <c r="A4" s="8" t="inlineStr">
        <is>
          <t>measure</t>
        </is>
      </c>
      <c r="B4" s="8" t="inlineStr">
        <is>
          <t>%</t>
        </is>
      </c>
      <c r="C4" s="8" t="inlineStr">
        <is>
          <t>definition basis</t>
        </is>
      </c>
      <c r="D4" s="8" t="inlineStr">
        <is>
          <t>source</t>
        </is>
      </c>
    </row>
    <row r="5">
      <c r="A5" s="26" t="inlineStr">
        <is>
          <t>Formally exempt from Digital Post (Q1 2026)</t>
        </is>
      </c>
      <c r="B5" s="33">
        <f>IF(COUNTIFS('02_MASTER'!$B:$B,"DK.DGP.EXMP",'02_MASTER'!$E:$E,2026)=0,"",SUMIFS('02_MASTER'!$F:$F,'02_MASTER'!$B:$B,"DK.DGP.EXMP",'02_MASTER'!$E:$E,2026))</f>
        <v/>
      </c>
      <c r="C5" s="28" t="inlineStr">
        <is>
          <t>administrative status</t>
        </is>
      </c>
      <c r="D5" s="36" t="inlineStr">
        <is>
          <t>DG1</t>
        </is>
      </c>
    </row>
    <row r="6">
      <c r="A6" s="26" t="inlineStr">
        <is>
          <t>Do not use digital public services at all</t>
        </is>
      </c>
      <c r="B6" s="33">
        <f>IF(COUNTIFS('02_MASTER'!$B:$B,"DK.DGX.NOUSE",'02_MASTER'!$E:$E,2026)=0,"",SUMIFS('02_MASTER'!$F:$F,'02_MASTER'!$B:$B,"DK.DGX.NOUSE",'02_MASTER'!$E:$E,2026))</f>
        <v/>
      </c>
      <c r="C6" s="28" t="inlineStr">
        <is>
          <t>self-reported non-use</t>
        </is>
      </c>
      <c r="D6" s="36" t="inlineStr">
        <is>
          <t>EC1</t>
        </is>
      </c>
    </row>
    <row r="7">
      <c r="A7" s="26" t="inlineStr">
        <is>
          <t>Face difficulties using digital public services</t>
        </is>
      </c>
      <c r="B7" s="33">
        <f>IF(COUNTIFS('02_MASTER'!$B:$B,"DK.DGX.DIFF",'02_MASTER'!$E:$E,2026)=0,"",SUMIFS('02_MASTER'!$F:$F,'02_MASTER'!$B:$B,"DK.DGX.DIFF",'02_MASTER'!$E:$E,2026))</f>
        <v/>
      </c>
      <c r="C7" s="28" t="inlineStr">
        <is>
          <t>capability estimate</t>
        </is>
      </c>
      <c r="D7" s="36" t="inlineStr">
        <is>
          <t>EC1</t>
        </is>
      </c>
    </row>
    <row r="8">
      <c r="A8" s="26" t="inlineStr">
        <is>
          <t>'Digitally disadvantaged' - lower bound</t>
        </is>
      </c>
      <c r="B8" s="33">
        <f>IF(COUNTIFS('02_MASTER'!$B:$B,"DK.DGX.DISADV.LO",'02_MASTER'!$E:$E,2025)=0,"",SUMIFS('02_MASTER'!$F:$F,'02_MASTER'!$B:$B,"DK.DGX.DISADV.LO",'02_MASTER'!$E:$E,2025))</f>
        <v/>
      </c>
      <c r="C8" s="28" t="inlineStr">
        <is>
          <t>capability estimate (range)</t>
        </is>
      </c>
      <c r="D8" s="36" t="inlineStr">
        <is>
          <t>DG2</t>
        </is>
      </c>
    </row>
    <row r="9">
      <c r="A9" s="26" t="inlineStr">
        <is>
          <t>'Digitally disadvantaged' - upper bound</t>
        </is>
      </c>
      <c r="B9" s="33">
        <f>IF(COUNTIFS('02_MASTER'!$B:$B,"DK.DGX.DISADV.HI",'02_MASTER'!$E:$E,2025)=0,"",SUMIFS('02_MASTER'!$F:$F,'02_MASTER'!$B:$B,"DK.DGX.DISADV.HI",'02_MASTER'!$E:$E,2025))</f>
        <v/>
      </c>
      <c r="C9" s="28" t="inlineStr">
        <is>
          <t>capability estimate (range)</t>
        </is>
      </c>
      <c r="D9" s="36" t="inlineStr">
        <is>
          <t>DG2</t>
        </is>
      </c>
    </row>
    <row r="10">
      <c r="A10" s="26" t="inlineStr">
        <is>
          <t>'Digitally disadvantaged' - Justitia</t>
        </is>
      </c>
      <c r="B10" s="33">
        <f>IF(COUNTIFS('02_MASTER'!$B:$B,"DK.DGX.JUST",'02_MASTER'!$E:$E,2022)=0,"",SUMIFS('02_MASTER'!$F:$F,'02_MASTER'!$B:$B,"DK.DGX.JUST",'02_MASTER'!$E:$E,2022))</f>
        <v/>
      </c>
      <c r="C10" s="28" t="inlineStr">
        <is>
          <t>broadest definition</t>
        </is>
      </c>
      <c r="D10" s="36" t="inlineStr">
        <is>
          <t>JU1</t>
        </is>
      </c>
    </row>
    <row r="12">
      <c r="A12" s="3" t="inlineStr">
        <is>
          <t>AGE GRADIENT IN FORMAL EXEMPTION (2022)</t>
        </is>
      </c>
    </row>
    <row r="13" ht="28" customHeight="1">
      <c r="A13" s="8" t="inlineStr">
        <is>
          <t>age group</t>
        </is>
      </c>
      <c r="B13" s="8" t="inlineStr">
        <is>
          <t>exempt (%)</t>
        </is>
      </c>
    </row>
    <row r="14">
      <c r="A14" s="26" t="inlineStr">
        <is>
          <t>Age 75-84</t>
        </is>
      </c>
      <c r="B14" s="34">
        <f>IF(COUNTIFS('02_MASTER'!$B:$B,"DK.DGP.EXMP.7584",'02_MASTER'!$E:$E,2022)=0,"",SUMIFS('02_MASTER'!$F:$F,'02_MASTER'!$B:$B,"DK.DGP.EXMP.7584",'02_MASTER'!$E:$E,2022))</f>
        <v/>
      </c>
    </row>
    <row r="15">
      <c r="A15" s="26" t="inlineStr">
        <is>
          <t>Age 85+</t>
        </is>
      </c>
      <c r="B15" s="34">
        <f>IF(COUNTIFS('02_MASTER'!$B:$B,"DK.DGP.EXMP.85P",'02_MASTER'!$E:$E,2022)=0,"",SUMIFS('02_MASTER'!$F:$F,'02_MASTER'!$B:$B,"DK.DGP.EXMP.85P",'02_MASTER'!$E:$E,2022))</f>
        <v/>
      </c>
    </row>
    <row r="17">
      <c r="A17" s="32"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1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5" t="inlineStr">
        <is>
          <t>Verified EU countries only (8 of 27). Ranked, not a regression.</t>
        </is>
      </c>
    </row>
    <row r="4" ht="28" customHeight="1">
      <c r="A4" s="8" t="inlineStr">
        <is>
          <t>country</t>
        </is>
      </c>
      <c r="B4" s="8" t="inlineStr">
        <is>
          <t>%</t>
        </is>
      </c>
      <c r="C4" s="8" t="inlineStr">
        <is>
          <t>series_code</t>
        </is>
      </c>
    </row>
    <row r="5">
      <c r="A5" s="26" t="inlineStr">
        <is>
          <t>Ireland</t>
        </is>
      </c>
      <c r="B5" s="33">
        <f>IF(COUNTIFS('02_MASTER'!$B:$B,"IE.ECM.IND.BUY",'02_MASTER'!$E:$E,2024)=0,"",SUMIFS('02_MASTER'!$F:$F,'02_MASTER'!$B:$B,"IE.ECM.IND.BUY",'02_MASTER'!$E:$E,2024))</f>
        <v/>
      </c>
      <c r="C5" s="36" t="inlineStr">
        <is>
          <t>IE.ECM.IND.BUY</t>
        </is>
      </c>
    </row>
    <row r="6">
      <c r="A6" s="26" t="inlineStr">
        <is>
          <t>Netherlands</t>
        </is>
      </c>
      <c r="B6" s="33">
        <f>IF(COUNTIFS('02_MASTER'!$B:$B,"NL.ECM.IND.BUY",'02_MASTER'!$E:$E,2024)=0,"",SUMIFS('02_MASTER'!$F:$F,'02_MASTER'!$B:$B,"NL.ECM.IND.BUY",'02_MASTER'!$E:$E,2024))</f>
        <v/>
      </c>
      <c r="C6" s="36" t="inlineStr">
        <is>
          <t>NL.ECM.IND.BUY</t>
        </is>
      </c>
    </row>
    <row r="7">
      <c r="A7" s="26" t="inlineStr">
        <is>
          <t>Denmark</t>
        </is>
      </c>
      <c r="B7" s="33">
        <f>IF(COUNTIFS('02_MASTER'!$B:$B,"DK.ECM.IND.BUY",'02_MASTER'!$E:$E,2024)=0,"",SUMIFS('02_MASTER'!$F:$F,'02_MASTER'!$B:$B,"DK.ECM.IND.BUY",'02_MASTER'!$E:$E,2024))</f>
        <v/>
      </c>
      <c r="C7" s="36" t="inlineStr">
        <is>
          <t>DK.ECM.IND.BUY</t>
        </is>
      </c>
    </row>
    <row r="8">
      <c r="A8" s="26" t="inlineStr">
        <is>
          <t>Germany</t>
        </is>
      </c>
      <c r="B8" s="33">
        <f>IF(COUNTIFS('02_MASTER'!$B:$B,"DE.ECM.IND.BUY",'02_MASTER'!$E:$E,2024)=0,"",SUMIFS('02_MASTER'!$F:$F,'02_MASTER'!$B:$B,"DE.ECM.IND.BUY",'02_MASTER'!$E:$E,2024))</f>
        <v/>
      </c>
      <c r="C8" s="36" t="inlineStr">
        <is>
          <t>DE.ECM.IND.BUY</t>
        </is>
      </c>
    </row>
    <row r="9">
      <c r="A9" s="26" t="inlineStr">
        <is>
          <t>EU-27 average</t>
        </is>
      </c>
      <c r="B9" s="33">
        <f>IF(COUNTIFS('02_MASTER'!$B:$B,"EU.ECM.IND.BUY",'02_MASTER'!$E:$E,2024)=0,"",SUMIFS('02_MASTER'!$F:$F,'02_MASTER'!$B:$B,"EU.ECM.IND.BUY",'02_MASTER'!$E:$E,2024))</f>
        <v/>
      </c>
      <c r="C9" s="36" t="inlineStr">
        <is>
          <t>EU.ECM.IND.BUY</t>
        </is>
      </c>
    </row>
    <row r="10">
      <c r="A10" s="26" t="inlineStr">
        <is>
          <t>Italy</t>
        </is>
      </c>
      <c r="B10" s="33">
        <f>IF(COUNTIFS('02_MASTER'!$B:$B,"IT.ECM.IND.BUY",'02_MASTER'!$E:$E,2024)=0,"",SUMIFS('02_MASTER'!$F:$F,'02_MASTER'!$B:$B,"IT.ECM.IND.BUY",'02_MASTER'!$E:$E,2024))</f>
        <v/>
      </c>
      <c r="C10" s="36" t="inlineStr">
        <is>
          <t>IT.ECM.IND.BUY</t>
        </is>
      </c>
    </row>
    <row r="11">
      <c r="A11" s="26" t="inlineStr">
        <is>
          <t>Romania</t>
        </is>
      </c>
      <c r="B11" s="33">
        <f>IF(COUNTIFS('02_MASTER'!$B:$B,"RO.ECM.IND.BUY",'02_MASTER'!$E:$E,2024)=0,"",SUMIFS('02_MASTER'!$F:$F,'02_MASTER'!$B:$B,"RO.ECM.IND.BUY",'02_MASTER'!$E:$E,2024))</f>
        <v/>
      </c>
      <c r="C11" s="36" t="inlineStr">
        <is>
          <t>RO.ECM.IND.BUY</t>
        </is>
      </c>
    </row>
    <row r="12">
      <c r="A12" s="26" t="inlineStr">
        <is>
          <t>Bulgaria</t>
        </is>
      </c>
      <c r="B12" s="33">
        <f>IF(COUNTIFS('02_MASTER'!$B:$B,"BG.ECM.IND.BUY",'02_MASTER'!$E:$E,2024)=0,"",SUMIFS('02_MASTER'!$F:$F,'02_MASTER'!$B:$B,"BG.ECM.IND.BUY",'02_MASTER'!$E:$E,2024))</f>
        <v/>
      </c>
      <c r="C12" s="36" t="inlineStr">
        <is>
          <t>BG.ECM.IND.BUY</t>
        </is>
      </c>
    </row>
    <row r="14">
      <c r="A14" s="32" t="inlineStr">
        <is>
          <t>Source: Eurostat (ES4). SCOPE LIMIT: 8 of 27 member states were verified, so this sheet presents a ranking and makes no regression claim. To extend it, add the remaining member states to dataset.py using the series_code pattern XX.ECM.IND.BUY and re-run the build; this sheet and its chart will expand automatically. Denominator is % of internet users, not % of individuals.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5" t="inlineStr">
        <is>
          <t>Recorded rather than silently omitted.</t>
        </is>
      </c>
    </row>
    <row r="4" ht="20" customHeight="1">
      <c r="A4" s="3" t="inlineStr">
        <is>
          <t>Status</t>
        </is>
      </c>
      <c r="B4" s="37" t="inlineStr">
        <is>
          <t>NOT RETRIEVED</t>
        </is>
      </c>
    </row>
    <row r="5" ht="20" customHeight="1">
      <c r="A5" s="3" t="inlineStr">
        <is>
          <t>Indicator</t>
        </is>
      </c>
      <c r="B5" s="37" t="inlineStr">
        <is>
          <t>Retail trade turnover, volume index (mangdeindeks)</t>
        </is>
      </c>
    </row>
    <row r="6" ht="20" customHeight="1">
      <c r="A6" s="3" t="inlineStr">
        <is>
          <t>Authority</t>
        </is>
      </c>
      <c r="B6" s="37" t="inlineStr">
        <is>
          <t>Danmarks Statistik; also available via Eurostat sts_trtu_a</t>
        </is>
      </c>
    </row>
    <row r="7" ht="20" customHeight="1">
      <c r="A7" s="3" t="inlineStr">
        <is>
          <t>Filters required</t>
        </is>
      </c>
      <c r="B7" s="37" t="inlineStr">
        <is>
          <t>geo=DK; nace_r2=G47; indic_bt=VOL; s_adj=SCA; unit=I21 (2021=100)</t>
        </is>
      </c>
    </row>
    <row r="8" ht="44" customHeight="1">
      <c r="A8" s="3" t="inlineStr">
        <is>
          <t>Why not retrieved</t>
        </is>
      </c>
      <c r="B8" s="37"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37" t="inlineStr">
        <is>
          <t>Danmarks Statistik rebased the index from 2015=100 to 2021=100. Series retrieved on different bases must not be joined.</t>
        </is>
      </c>
    </row>
    <row r="10" ht="44" customHeight="1">
      <c r="A10" s="3" t="inlineStr">
        <is>
          <t>Effect on the analysis</t>
        </is>
      </c>
      <c r="B10" s="37" t="inlineStr">
        <is>
          <t>The e-commerce section rests on the enterprise e-sales evidence in F3_ESALES instead, which is better sourced. No conclusion in the report depends on this series.</t>
        </is>
      </c>
    </row>
    <row r="11" ht="44" customHeight="1">
      <c r="A11" s="3" t="inlineStr">
        <is>
          <t>To fill</t>
        </is>
      </c>
      <c r="B11" s="37" t="inlineStr">
        <is>
          <t>Retrieve from statistikbanken.dk, add rows to dataset.py under series_code DK.RET.VOL with unit 'index 2021=100', and re-run build_workbook.py.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5" t="inlineStr">
        <is>
          <t>Read before citing any value.</t>
        </is>
      </c>
    </row>
    <row r="4" ht="62" customHeight="1">
      <c r="A4" s="3" t="inlineStr">
        <is>
          <t>No inferential statistics</t>
        </is>
      </c>
      <c r="B4"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5" ht="62" customHeight="1">
      <c r="A5" s="3" t="inlineStr">
        <is>
          <t>Unbalanced panel</t>
        </is>
      </c>
      <c r="B5" s="20" t="inlineStr">
        <is>
          <t>Observation years differ by series because the underlying sources publish on different cycles - payment habits roughly biennially, Eurostat annually, branch counts irregularly. Gaps are genuine and are not filled.</t>
        </is>
      </c>
    </row>
    <row r="6" ht="62" customHeight="1">
      <c r="A6" s="3" t="inlineStr">
        <is>
          <t>Denominator break</t>
        </is>
      </c>
      <c r="B6" s="20" t="inlineStr">
        <is>
          <t>Danish online-purchasing figures change base between 2019 (% of individuals) and 2020 onward (% of internet users). The 2019 observation carries flag 'b' and is never plotted with later years.</t>
        </is>
      </c>
    </row>
    <row r="7" ht="62" customHeight="1">
      <c r="A7" s="3" t="inlineStr">
        <is>
          <t>Verbal quantities</t>
        </is>
      </c>
      <c r="B7" s="20" t="inlineStr">
        <is>
          <t>Values flagged 'e' were published as words, not figures - 'nearly one in five', 'just under 36,000'. They are recorded as the stated approximation with the original wording in the notes column.</t>
        </is>
      </c>
    </row>
    <row r="8" ht="62" customHeight="1">
      <c r="A8" s="3" t="inlineStr">
        <is>
          <t>Confounded outcome</t>
        </is>
      </c>
      <c r="B8" s="20" t="inlineStr">
        <is>
          <t>Branch closures reflect both digitalisation and sectoral consolidation (219 institutions in 1991, 51 in 2024). The branch series alone cannot separate these, and the report should not claim that it does.</t>
        </is>
      </c>
    </row>
    <row r="9" ht="62" customHeight="1">
      <c r="A9" s="3" t="inlineStr">
        <is>
          <t>Definitional spread in exclusion measures</t>
        </is>
      </c>
      <c r="B9" s="20" t="inlineStr">
        <is>
          <t>The five exclusion measures range from 4.7% to 25% because they define the population differently. They are not competing estimates of one quantity and must not be averaged or presented as a range.</t>
        </is>
      </c>
    </row>
    <row r="10" ht="62" customHeight="1">
      <c r="A10" s="3" t="inlineStr">
        <is>
          <t>Cross-section incomplete</t>
        </is>
      </c>
      <c r="B10" s="20" t="inlineStr">
        <is>
          <t>F5 covers 8 of 27 member states. It supports a ranking, not a regression.</t>
        </is>
      </c>
    </row>
    <row r="11" ht="62" customHeight="1">
      <c r="A11" s="3" t="inlineStr">
        <is>
          <t>Search-based verification</t>
        </is>
      </c>
      <c r="B1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12" ht="62" customHeight="1">
      <c r="A12" s="3" t="inlineStr">
        <is>
          <t>Discarded material</t>
        </is>
      </c>
      <c r="B1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5"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69 observations retained.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Workbook construction</t>
        </is>
      </c>
      <c r="B8" s="15" t="inlineStr">
        <is>
          <t>AI wrote the Python build script that generates this workbook.</t>
        </is>
      </c>
      <c r="C8" s="15" t="inlineStr">
        <is>
          <t>Structural assertions run at build time: source_ids resolve, units and denominators present, no duplicate observations, break flags set.</t>
        </is>
      </c>
      <c r="D8" s="15" t="inlineStr">
        <is>
          <t>build_workbook.py, re-runnable.</t>
        </is>
      </c>
    </row>
    <row r="9" ht="52" customHeight="1">
      <c r="A9" s="15" t="inlineStr">
        <is>
          <t>Analytical framing</t>
        </is>
      </c>
      <c r="B9" s="15" t="inlineStr">
        <is>
          <t>AI used to interpret patterns and suggest framings.</t>
        </is>
      </c>
      <c r="C9" s="15" t="inlineStr">
        <is>
          <t>Author reviewed each interpretation against the underlying values.</t>
        </is>
      </c>
      <c r="D9" s="15" t="inlineStr">
        <is>
          <t>Interpretations appear in the report, attributed to the author.</t>
        </is>
      </c>
    </row>
    <row r="10" ht="52" customHeight="1">
      <c r="A10" s="15" t="inlineStr">
        <is>
          <t>Not delegated to AI</t>
        </is>
      </c>
      <c r="B10" s="15" t="inlineStr">
        <is>
          <t>Selection of the research question, country, industries, SDG and policy comparator; the argument; the conclusions.</t>
        </is>
      </c>
      <c r="C10" s="15" t="inlineStr">
        <is>
          <t>n/a</t>
        </is>
      </c>
      <c r="D10" s="15" t="inlineStr">
        <is>
          <t>Author's own work.</t>
        </is>
      </c>
    </row>
    <row r="12">
      <c r="A12" s="32"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s4040040</dc:creator>
  <dc:title>Denmark: Digital Adoption and Policy Outcomes</dc:title>
  <dc:description>Statistical annex, v1.0, built 2026-09-12. 69 verified observations.</dc:description>
  <dc:subject>ECON1596/ECON1597 Digital Economy and Policy</dc:subject>
  <dcterms:created xsi:type="dcterms:W3CDTF">2026-09-12T05:55:41Z</dcterms:created>
  <dcterms:modified xsi:type="dcterms:W3CDTF">2026-09-12T05:55:42Z</dcterms:modified>
</cp:coreProperties>
</file>