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27" sheetId="11" state="visible" r:id="rId11"/>
    <sheet name="F6_ADOPT_BENEFIT" sheetId="12" state="visible" r:id="rId12"/>
    <sheet name="F7_QUALITY" sheetId="13" state="visible" r:id="rId13"/>
    <sheet name="F8_SMVDIGITAL" sheetId="14" state="visible" r:id="rId14"/>
    <sheet name="09_POLICY" sheetId="15" state="visible" r:id="rId15"/>
    <sheet name="06_RETAIL_GAP" sheetId="16" state="visible" r:id="rId16"/>
    <sheet name="07_LIMITATIONS" sheetId="17" state="visible" r:id="rId17"/>
    <sheet name="08_AI_LOG" sheetId="18" state="visible" r:id="rId18"/>
  </sheets>
  <definedNames>
    <definedName name="_xlnm._FilterDatabase" localSheetId="2" hidden="1">'02_MASTER'!$A$1:$L$111</definedName>
  </definedNames>
  <calcPr calcId="124519" fullCalcOnLoad="1"/>
</workbook>
</file>

<file path=xl/styles.xml><?xml version="1.0" encoding="utf-8"?>
<styleSheet xmlns="http://schemas.openxmlformats.org/spreadsheetml/2006/main">
  <numFmts count="6">
    <numFmt numFmtId="164" formatCode="0.0%"/>
    <numFmt numFmtId="165" formatCode="_(#,##0_);\(#,##0\);_(&quot;–&quot;_);_(&quot;–&quot;_)"/>
    <numFmt numFmtId="166" formatCode="_(#,##0.0_);\(#,##0.0\);_(&quot;–&quot;_);_(&quot;–&quot;_)"/>
    <numFmt numFmtId="167" formatCode="_(#,##0.00_);\(#,##0.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3" fontId="4" fillId="4" borderId="1" pivotButton="0" quotePrefix="0" xfId="0"/>
    <xf numFmtId="0" fontId="8" fillId="0" borderId="1" pivotButton="0" quotePrefix="0" xfId="0"/>
    <xf numFmtId="0" fontId="8" fillId="0" borderId="1" applyAlignment="1" pivotButton="0" quotePrefix="0" xfId="0">
      <alignment vertical="top" wrapText="1"/>
    </xf>
    <xf numFmtId="164" fontId="4" fillId="4" borderId="1" pivotButton="0" quotePrefix="0" xfId="0"/>
    <xf numFmtId="2" fontId="4" fillId="4" borderId="1" pivotButton="0" quotePrefix="0" xfId="0"/>
    <xf numFmtId="0" fontId="3" fillId="7" borderId="0" applyAlignment="1" pivotButton="0" quotePrefix="0" xfId="0">
      <alignment vertical="center"/>
    </xf>
    <xf numFmtId="165" fontId="4" fillId="4" borderId="1" pivotButton="0" quotePrefix="0" xfId="0"/>
    <xf numFmtId="0" fontId="8" fillId="0" borderId="0" applyAlignment="1" pivotButton="0" quotePrefix="0" xfId="0">
      <alignment vertical="top" wrapText="1"/>
    </xf>
    <xf numFmtId="166" fontId="4" fillId="4" borderId="1" pivotButton="0" quotePrefix="0" xfId="0"/>
    <xf numFmtId="166" fontId="4" fillId="5" borderId="1" pivotButton="0" quotePrefix="0" xfId="0"/>
    <xf numFmtId="167" fontId="0" fillId="4" borderId="1" pivotButton="0" quotePrefix="0" xfId="0"/>
    <xf numFmtId="167" fontId="4"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scatterChart>
        <ser>
          <idx val="0"/>
          <order val="0"/>
          <tx>
            <strRef>
              <f>'F1_BRANCHES'!B4</f>
            </strRef>
          </tx>
          <spPr>
            <a:ln w="22000">
              <a:solidFill>
                <a:srgbClr val="2E6DB4"/>
              </a:solidFill>
              <a:prstDash val="solid"/>
            </a:ln>
          </spPr>
          <marker>
            <symbol val="circle"/>
            <size val="7"/>
            <spPr>
              <a:solidFill>
                <a:srgbClr val="2E6DB4"/>
              </a:solidFill>
              <a:l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a:p>
                <a:pPr>
                  <a:defRPr/>
                </a:pPr>
                <a:r>
                  <a:t>Year</a:t>
                </a:r>
              </a:p>
            </rich>
          </tx>
        </title>
        <majorTickMark val="none"/>
        <minorTickMark val="none"/>
        <spPr>
          <a:ln>
            <a:noFill/>
            <a:prstDash val="solid"/>
          </a:ln>
        </spPr>
        <crossAx val="20"/>
      </valAx>
      <valAx>
        <axId val="20"/>
        <scaling>
          <orientation val="minMax"/>
          <min val="0"/>
        </scaling>
        <axPos val="l"/>
        <title>
          <tx>
            <rich>
              <a:bodyPr/>
              <a:p>
                <a:pPr>
                  <a:defRPr/>
                </a:pPr>
                <a:r>
                  <a:t>Number of branches</a:t>
                </a:r>
              </a:p>
            </rich>
          </tx>
        </title>
        <majorTickMark val="none"/>
        <minorTickMark val="none"/>
        <spPr>
          <a:ln>
            <a:noFill/>
            <a:prstDash val="solid"/>
          </a:ln>
        </spPr>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tx>
            <strRef>
              <f>'F2_PAYMENTS'!B5</f>
            </strRef>
          </tx>
          <spPr>
            <a:ln w="22000">
              <a:solidFill>
                <a:srgbClr val="2E6DB4"/>
              </a:solidFill>
              <a:prstDash val="solid"/>
            </a:ln>
          </spPr>
          <marker>
            <symbol val="circle"/>
            <size val="7"/>
            <spPr>
              <a:solidFill>
                <a:srgbClr val="2E6DB4"/>
              </a:solidFill>
              <a:l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a:p>
                <a:pPr>
                  <a:defRPr/>
                </a:pPr>
                <a:r>
                  <a:t>Year</a:t>
                </a:r>
              </a:p>
            </rich>
          </tx>
        </title>
        <majorTickMark val="none"/>
        <minorTickMark val="none"/>
        <spPr>
          <a:ln>
            <a:noFill/>
            <a:prstDash val="solid"/>
          </a:ln>
        </spPr>
        <crossAx val="20"/>
      </valAx>
      <valAx>
        <axId val="20"/>
        <scaling>
          <orientation val="minMax"/>
          <max val="25"/>
          <min val="0"/>
        </scaling>
        <axPos val="l"/>
        <title>
          <tx>
            <rich>
              <a:bodyPr/>
              <a:p>
                <a:pPr>
                  <a:defRPr/>
                </a:pPr>
                <a:r>
                  <a:t>% of number of payments</a:t>
                </a:r>
              </a:p>
            </rich>
          </tx>
        </title>
        <majorTickMark val="none"/>
        <minorTickMark val="none"/>
        <spPr>
          <a:ln>
            <a:noFill/>
            <a:prstDash val="solid"/>
          </a:ln>
        </spPr>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bar"/>
        <grouping val="clustered"/>
        <ser>
          <idx val="0"/>
          <order val="0"/>
          <tx>
            <strRef>
              <f>'F2_PAYMENTS'!B11</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cat>
            <numRef>
              <f>'F2_PAYMENTS'!$A$12:$A$14</f>
            </numRef>
          </cat>
          <val>
            <numRef>
              <f>'F2_PAYMENTS'!$B$12:$B$14</f>
            </numRef>
          </val>
        </ser>
        <gapWidth val="80"/>
        <axId val="10"/>
        <axId val="100"/>
      </barChart>
      <catAx>
        <axId val="10"/>
        <scaling>
          <orientation val="minMax"/>
        </scaling>
        <axPos val="l"/>
        <title>
          <tx>
            <rich>
              <a:bodyPr/>
              <a:p>
                <a:pPr>
                  <a:defRPr/>
                </a:pPr>
                <a:r>
                  <a:t>% of number of payments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4.xml><?xml version="1.0" encoding="utf-8"?>
<chartSpace xmlns:a="http://schemas.openxmlformats.org/drawingml/2006/main" xmlns="http://schemas.openxmlformats.org/drawingml/2006/chart">
  <chart>
    <plotArea>
      <barChart>
        <barDir val="col"/>
        <grouping val="clustered"/>
        <ser>
          <idx val="0"/>
          <order val="0"/>
          <tx>
            <strRef>
              <f>'F3_ESALES'!B4</f>
            </strRef>
          </tx>
          <spPr>
            <a:solidFill>
              <a:srgbClr val="2E6DB4"/>
            </a:solidFill>
            <a:ln>
              <a:noFill/>
              <a:prstDash val="solid"/>
            </a:ln>
          </spPr>
          <cat>
            <numRef>
              <f>'F3_ESALES'!$A$5:$A$6</f>
            </numRef>
          </cat>
          <val>
            <numRef>
              <f>'F3_ESALES'!$B$5:$B$6</f>
            </numRef>
          </val>
        </ser>
        <ser>
          <idx val="1"/>
          <order val="1"/>
          <tx>
            <strRef>
              <f>'F3_ESALES'!C4</f>
            </strRef>
          </tx>
          <spPr>
            <a:solidFill>
              <a:srgbClr val="A3A3A3"/>
            </a:solidFill>
            <a:ln>
              <a:noFill/>
              <a:prstDash val="solid"/>
            </a:ln>
          </spPr>
          <cat>
            <numRef>
              <f>'F3_ESALES'!$A$5:$A$6</f>
            </numRef>
          </cat>
          <val>
            <numRef>
              <f>'F3_ESALES'!$C$5:$C$6</f>
            </numRef>
          </val>
        </ser>
        <gapWidth val="80"/>
        <overlap val="-27"/>
        <axId val="10"/>
        <axId val="100"/>
      </barChart>
      <catAx>
        <axId val="10"/>
        <scaling>
          <orientation val="minMax"/>
        </scaling>
        <axPos val="l"/>
        <title>
          <tx>
            <rich>
              <a:bodyPr/>
              <a:p>
                <a:pPr>
                  <a:defRPr/>
                </a:pPr>
                <a:r>
                  <a:t>Year</a:t>
                </a:r>
              </a:p>
            </rich>
          </tx>
        </title>
        <majorTickMark val="none"/>
        <minorTickMark val="none"/>
        <spPr>
          <a:ln>
            <a:noFill/>
            <a:prstDash val="solid"/>
          </a:ln>
        </spPr>
        <crossAx val="100"/>
        <lblOffset val="100"/>
      </catAx>
      <valAx>
        <axId val="100"/>
        <scaling>
          <orientation val="minMax"/>
        </scaling>
        <axPos val="l"/>
        <title>
          <tx>
            <rich>
              <a:bodyPr/>
              <a:p>
                <a:pPr>
                  <a:defRPr/>
                </a:pPr>
                <a:r>
                  <a:t>% of turnover</a:t>
                </a:r>
              </a:p>
            </rich>
          </tx>
        </title>
        <majorTickMark val="none"/>
        <minorTickMark val="none"/>
        <spPr>
          <a:ln>
            <a:noFill/>
            <a:prstDash val="solid"/>
          </a:ln>
        </spPr>
        <crossAx val="10"/>
      </valAx>
    </plotArea>
    <legend>
      <legendPos val="b"/>
      <overlay val="0"/>
    </legend>
    <plotVisOnly val="1"/>
    <dispBlanksAs val="gap"/>
  </chart>
</chartSpace>
</file>

<file path=xl/charts/chart5.xml><?xml version="1.0" encoding="utf-8"?>
<chartSpace xmlns:a="http://schemas.openxmlformats.org/drawingml/2006/main" xmlns="http://schemas.openxmlformats.org/drawingml/2006/chart">
  <chart>
    <plotArea>
      <barChart>
        <barDir val="bar"/>
        <grouping val="clustered"/>
        <ser>
          <idx val="0"/>
          <order val="0"/>
          <tx>
            <strRef>
              <f>'F4_EXCLUSION'!B4</f>
            </strRef>
          </tx>
          <spPr>
            <a:solidFill>
              <a:srgbClr val="2E6DB4"/>
            </a:solidFill>
            <a:ln>
              <a:noFill/>
              <a:prstDash val="solid"/>
            </a:ln>
          </spPr>
          <cat>
            <numRef>
              <f>'F4_EXCLUSION'!$A$5:$A$10</f>
            </numRef>
          </cat>
          <val>
            <numRef>
              <f>'F4_EXCLUSION'!$B$5:$B$10</f>
            </numRef>
          </val>
        </ser>
        <gapWidth val="80"/>
        <axId val="10"/>
        <axId val="100"/>
      </barChart>
      <catAx>
        <axId val="10"/>
        <scaling>
          <orientation val="minMax"/>
        </scaling>
        <axPos val="l"/>
        <title>
          <tx>
            <rich>
              <a:bodyPr/>
              <a:p>
                <a:pPr>
                  <a:defRPr/>
                </a:pPr>
                <a:r>
                  <a:t>% of population</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6.xml><?xml version="1.0" encoding="utf-8"?>
<chartSpace xmlns:a="http://schemas.openxmlformats.org/drawingml/2006/main" xmlns="http://schemas.openxmlformats.org/drawingml/2006/chart">
  <chart>
    <plotArea>
      <barChart>
        <barDir val="bar"/>
        <grouping val="clustered"/>
        <ser>
          <idx val="0"/>
          <order val="0"/>
          <tx>
            <strRef>
              <f>'F5_EU27'!B4</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dPt>
            <idx val="3"/>
            <spPr>
              <a:solidFill>
                <a:srgbClr val="A3A3A3"/>
              </a:solidFill>
              <a:ln>
                <a:noFill/>
                <a:prstDash val="solid"/>
              </a:ln>
            </spPr>
          </dPt>
          <dPt>
            <idx val="4"/>
            <spPr>
              <a:solidFill>
                <a:srgbClr val="A3A3A3"/>
              </a:solidFill>
              <a:ln>
                <a:noFill/>
                <a:prstDash val="solid"/>
              </a:ln>
            </spPr>
          </dPt>
          <dPt>
            <idx val="5"/>
            <spPr>
              <a:solidFill>
                <a:srgbClr val="A3A3A3"/>
              </a:solidFill>
              <a:ln>
                <a:noFill/>
                <a:prstDash val="solid"/>
              </a:ln>
            </spPr>
          </dPt>
          <dPt>
            <idx val="6"/>
            <spPr>
              <a:solidFill>
                <a:srgbClr val="A3A3A3"/>
              </a:solidFill>
              <a:ln>
                <a:noFill/>
                <a:prstDash val="solid"/>
              </a:ln>
            </spPr>
          </dPt>
          <dPt>
            <idx val="7"/>
            <spPr>
              <a:solidFill>
                <a:srgbClr val="A3A3A3"/>
              </a:solidFill>
              <a:ln>
                <a:noFill/>
                <a:prstDash val="solid"/>
              </a:ln>
            </spPr>
          </dPt>
          <dPt>
            <idx val="8"/>
            <spPr>
              <a:solidFill>
                <a:srgbClr val="A3A3A3"/>
              </a:solidFill>
              <a:ln>
                <a:noFill/>
                <a:prstDash val="solid"/>
              </a:ln>
            </spPr>
          </dPt>
          <dPt>
            <idx val="9"/>
            <spPr>
              <a:solidFill>
                <a:srgbClr val="A3A3A3"/>
              </a:solidFill>
              <a:ln>
                <a:noFill/>
                <a:prstDash val="solid"/>
              </a:ln>
            </spPr>
          </dPt>
          <dPt>
            <idx val="10"/>
            <spPr>
              <a:solidFill>
                <a:srgbClr val="A3A3A3"/>
              </a:solidFill>
              <a:ln>
                <a:noFill/>
                <a:prstDash val="solid"/>
              </a:ln>
            </spPr>
          </dPt>
          <dPt>
            <idx val="11"/>
            <spPr>
              <a:solidFill>
                <a:srgbClr val="A3A3A3"/>
              </a:solidFill>
              <a:ln>
                <a:noFill/>
                <a:prstDash val="solid"/>
              </a:ln>
            </spPr>
          </dPt>
          <dPt>
            <idx val="12"/>
            <spPr>
              <a:solidFill>
                <a:srgbClr val="A3A3A3"/>
              </a:solidFill>
              <a:ln>
                <a:noFill/>
                <a:prstDash val="solid"/>
              </a:ln>
            </spPr>
          </dPt>
          <dPt>
            <idx val="13"/>
            <spPr>
              <a:solidFill>
                <a:srgbClr val="1F3A5F"/>
              </a:solidFill>
              <a:ln>
                <a:noFill/>
                <a:prstDash val="solid"/>
              </a:ln>
            </spPr>
          </dPt>
          <dPt>
            <idx val="14"/>
            <spPr>
              <a:solidFill>
                <a:srgbClr val="A3A3A3"/>
              </a:solidFill>
              <a:ln>
                <a:noFill/>
                <a:prstDash val="solid"/>
              </a:ln>
            </spPr>
          </dPt>
          <dPt>
            <idx val="15"/>
            <spPr>
              <a:solidFill>
                <a:srgbClr val="A3A3A3"/>
              </a:solidFill>
              <a:ln>
                <a:noFill/>
                <a:prstDash val="solid"/>
              </a:ln>
            </spPr>
          </dPt>
          <dPt>
            <idx val="16"/>
            <spPr>
              <a:solidFill>
                <a:srgbClr val="A3A3A3"/>
              </a:solidFill>
              <a:ln>
                <a:noFill/>
                <a:prstDash val="solid"/>
              </a:ln>
            </spPr>
          </dPt>
          <dPt>
            <idx val="17"/>
            <spPr>
              <a:solidFill>
                <a:srgbClr val="A3A3A3"/>
              </a:solidFill>
              <a:ln>
                <a:noFill/>
                <a:prstDash val="solid"/>
              </a:ln>
            </spPr>
          </dPt>
          <dPt>
            <idx val="18"/>
            <spPr>
              <a:solidFill>
                <a:srgbClr val="A3A3A3"/>
              </a:solidFill>
              <a:ln>
                <a:noFill/>
                <a:prstDash val="solid"/>
              </a:ln>
            </spPr>
          </dPt>
          <dPt>
            <idx val="19"/>
            <spPr>
              <a:solidFill>
                <a:srgbClr val="A3A3A3"/>
              </a:solidFill>
              <a:ln>
                <a:noFill/>
                <a:prstDash val="solid"/>
              </a:ln>
            </spPr>
          </dPt>
          <dPt>
            <idx val="20"/>
            <spPr>
              <a:solidFill>
                <a:srgbClr val="A3A3A3"/>
              </a:solidFill>
              <a:ln>
                <a:noFill/>
                <a:prstDash val="solid"/>
              </a:ln>
            </spPr>
          </dPt>
          <dPt>
            <idx val="21"/>
            <spPr>
              <a:solidFill>
                <a:srgbClr val="A3A3A3"/>
              </a:solidFill>
              <a:ln>
                <a:noFill/>
                <a:prstDash val="solid"/>
              </a:ln>
            </spPr>
          </dPt>
          <dPt>
            <idx val="22"/>
            <spPr>
              <a:solidFill>
                <a:srgbClr val="A3A3A3"/>
              </a:solidFill>
              <a:ln>
                <a:noFill/>
                <a:prstDash val="solid"/>
              </a:ln>
            </spPr>
          </dPt>
          <dPt>
            <idx val="23"/>
            <spPr>
              <a:solidFill>
                <a:srgbClr val="A3A3A3"/>
              </a:solidFill>
              <a:ln>
                <a:noFill/>
                <a:prstDash val="solid"/>
              </a:ln>
            </spPr>
          </dPt>
          <dPt>
            <idx val="24"/>
            <spPr>
              <a:solidFill>
                <a:srgbClr val="A3A3A3"/>
              </a:solidFill>
              <a:ln>
                <a:noFill/>
                <a:prstDash val="solid"/>
              </a:ln>
            </spPr>
          </dPt>
          <dPt>
            <idx val="25"/>
            <spPr>
              <a:solidFill>
                <a:srgbClr val="A3A3A3"/>
              </a:solidFill>
              <a:ln>
                <a:noFill/>
                <a:prstDash val="solid"/>
              </a:ln>
            </spPr>
          </dPt>
          <dPt>
            <idx val="26"/>
            <spPr>
              <a:solidFill>
                <a:srgbClr val="A3A3A3"/>
              </a:solidFill>
              <a:ln>
                <a:noFill/>
                <a:prstDash val="solid"/>
              </a:ln>
            </spPr>
          </dPt>
          <dPt>
            <idx val="27"/>
            <spPr>
              <a:solidFill>
                <a:srgbClr val="A3A3A3"/>
              </a:solidFill>
              <a:ln>
                <a:noFill/>
                <a:prstDash val="solid"/>
              </a:ln>
            </spPr>
          </dPt>
          <cat>
            <numRef>
              <f>'F5_EU27'!$A$5:$A$32</f>
            </numRef>
          </cat>
          <val>
            <numRef>
              <f>'F5_EU27'!$B$5:$B$32</f>
            </numRef>
          </val>
        </ser>
        <gapWidth val="80"/>
        <axId val="10"/>
        <axId val="100"/>
      </barChart>
      <catAx>
        <axId val="10"/>
        <scaling>
          <orientation val="minMax"/>
        </scaling>
        <axPos val="l"/>
        <title>
          <tx>
            <rich>
              <a:bodyPr/>
              <a:p>
                <a:pPr>
                  <a:defRPr/>
                </a:pPr>
                <a:r>
                  <a:t>% of internet users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7.xml><?xml version="1.0" encoding="utf-8"?>
<chartSpace xmlns:a="http://schemas.openxmlformats.org/drawingml/2006/main" xmlns="http://schemas.openxmlformats.org/drawingml/2006/chart">
  <chart>
    <plotArea>
      <scatterChart>
        <ser>
          <idx val="0"/>
          <order val="0"/>
          <tx>
            <strRef>
              <f>'F6_ADOPT_BENEFIT'!D4</f>
            </strRef>
          </tx>
          <spPr>
            <a:ln>
              <a:noFill/>
              <a:prstDash val="solid"/>
            </a:ln>
          </spPr>
          <marker>
            <symbol val="circle"/>
            <size val="9"/>
            <spPr>
              <a:solidFill>
                <a:srgbClr val="2E6DB4"/>
              </a:solidFill>
              <a:ln>
                <a:noFill/>
                <a:prstDash val="solid"/>
              </a:ln>
            </spPr>
          </marker>
          <trendline>
            <spPr>
              <a:l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a:p>
                <a:pPr>
                  <a:defRPr/>
                </a:pPr>
                <a:r>
                  <a:t>Individuals who bought online (% of internet users)</a:t>
                </a:r>
              </a:p>
            </rich>
          </tx>
        </title>
        <majorTickMark val="none"/>
        <minorTickMark val="none"/>
        <spPr>
          <a:ln>
            <a:noFill/>
            <a:prstDash val="solid"/>
          </a:ln>
        </spPr>
        <crossAx val="20"/>
      </valAx>
      <valAx>
        <axId val="20"/>
        <scaling>
          <orientation val="minMax"/>
          <min val="0"/>
        </scaling>
        <axPos val="l"/>
        <title>
          <tx>
            <rich>
              <a:bodyPr/>
              <a:p>
                <a:pPr>
                  <a:defRPr/>
                </a:pPr>
                <a:r>
                  <a:t>E-sales as % of enterprise turnover</a:t>
                </a:r>
              </a:p>
            </rich>
          </tx>
        </title>
        <majorTickMark val="none"/>
        <minorTickMark val="none"/>
        <spPr>
          <a:ln>
            <a:noFill/>
            <a:prstDash val="solid"/>
          </a:ln>
        </spPr>
        <crossAx val="10"/>
      </valAx>
    </plotArea>
    <plotVisOnly val="1"/>
    <dispBlanksAs val="gap"/>
  </chart>
</chartSpace>
</file>

<file path=xl/charts/chart8.xml><?xml version="1.0" encoding="utf-8"?>
<chartSpace xmlns:a="http://schemas.openxmlformats.org/drawingml/2006/main" xmlns="http://schemas.openxmlformats.org/drawingml/2006/chart">
  <chart>
    <plotArea>
      <barChart>
        <barDir val="bar"/>
        <grouping val="clustered"/>
        <ser>
          <idx val="0"/>
          <order val="0"/>
          <tx>
            <strRef>
              <f>'F7_QUALITY'!B4</f>
            </strRef>
          </tx>
          <spPr>
            <a:solidFill>
              <a:srgbClr val="2E6DB4"/>
            </a:solidFill>
            <a:ln>
              <a:noFill/>
              <a:prstDash val="solid"/>
            </a:ln>
          </spPr>
          <cat>
            <numRef>
              <f>'F7_QUALITY'!$A$5:$A$8</f>
            </numRef>
          </cat>
          <val>
            <numRef>
              <f>'F7_QUALITY'!$B$5:$B$8</f>
            </numRef>
          </val>
        </ser>
        <ser>
          <idx val="1"/>
          <order val="1"/>
          <tx>
            <strRef>
              <f>'F7_QUALITY'!C4</f>
            </strRef>
          </tx>
          <spPr>
            <a:solidFill>
              <a:srgbClr val="A3A3A3"/>
            </a:solidFill>
            <a:ln>
              <a:noFill/>
              <a:prstDash val="solid"/>
            </a:ln>
          </spPr>
          <cat>
            <numRef>
              <f>'F7_QUALITY'!$A$5:$A$8</f>
            </numRef>
          </cat>
          <val>
            <numRef>
              <f>'F7_QUALITY'!$C$5:$C$8</f>
            </numRef>
          </val>
        </ser>
        <gapWidth val="80"/>
        <overlap val="-27"/>
        <axId val="10"/>
        <axId val="100"/>
      </barChart>
      <catAx>
        <axId val="10"/>
        <scaling>
          <orientation val="minMax"/>
        </scaling>
        <axPos val="l"/>
        <title>
          <tx>
            <rich>
              <a:bodyPr/>
              <a:p>
                <a:pPr>
                  <a:defRPr/>
                </a:pPr>
                <a:r>
                  <a:t>% or benchmark score</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legend>
      <legendPos val="b"/>
      <overlay val="0"/>
    </legend>
    <plotVisOnly val="1"/>
    <dispBlanksAs val="gap"/>
  </chart>
</chartSpace>
</file>

<file path=xl/charts/chart9.xml><?xml version="1.0" encoding="utf-8"?>
<chartSpace xmlns:a="http://schemas.openxmlformats.org/drawingml/2006/main" xmlns="http://schemas.openxmlformats.org/drawingml/2006/chart">
  <chart>
    <plotArea>
      <barChart>
        <barDir val="bar"/>
        <grouping val="clustered"/>
        <ser>
          <idx val="0"/>
          <order val="0"/>
          <tx>
            <strRef>
              <f>'F8_SMVDIGITAL'!B4</f>
            </strRef>
          </tx>
          <spPr>
            <a:solidFill>
              <a:srgbClr val="2E6DB4"/>
            </a:solidFill>
            <a:ln>
              <a:noFill/>
              <a:prstDash val="solid"/>
            </a:ln>
          </spPr>
          <cat>
            <numRef>
              <f>'F8_SMVDIGITAL'!$A$5:$A$7</f>
            </numRef>
          </cat>
          <val>
            <numRef>
              <f>'F8_SMVDIGITAL'!$B$5:$B$7</f>
            </numRef>
          </val>
        </ser>
        <gapWidth val="80"/>
        <axId val="10"/>
        <axId val="100"/>
      </barChart>
      <catAx>
        <axId val="10"/>
        <scaling>
          <orientation val="minMax"/>
        </scaling>
        <axPos val="l"/>
        <title>
          <tx>
            <rich>
              <a:bodyPr/>
              <a:p>
                <a:pPr>
                  <a:defRPr/>
                </a:pPr>
                <a:r>
                  <a:t>% of participating enterprises / count</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64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110</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09_POLICY</t>
        </is>
      </c>
      <c r="B32" s="6" t="inlineStr">
        <is>
          <t>Policy events - dated instruments with legal citations</t>
        </is>
      </c>
    </row>
    <row r="33">
      <c r="A33" s="5" t="inlineStr">
        <is>
          <t>06_RETAIL_GAP</t>
        </is>
      </c>
      <c r="B33" s="6" t="inlineStr">
        <is>
          <t>Documented gap - retail volume index not retrieved</t>
        </is>
      </c>
    </row>
    <row r="34">
      <c r="A34" s="5" t="inlineStr">
        <is>
          <t>07_LIMITATIONS</t>
        </is>
      </c>
      <c r="B34" s="6" t="inlineStr">
        <is>
          <t>Data quality statement - read before citing</t>
        </is>
      </c>
    </row>
    <row r="35">
      <c r="A35" s="5" t="inlineStr">
        <is>
          <t>08_AI_LOG</t>
        </is>
      </c>
      <c r="B35"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extraction_date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74.55%.</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68.57%.</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42.60%.</t>
        </is>
      </c>
    </row>
    <row r="94">
      <c r="A94" s="13" t="n">
        <v>93</v>
      </c>
      <c r="B94" s="14" t="inlineStr">
        <is>
          <t>DK.ENT.DII</t>
        </is>
      </c>
      <c r="C94" s="15" t="inlineStr">
        <is>
          <t>SMEs with at least basic digital intensity</t>
        </is>
      </c>
      <c r="D94" s="13" t="inlineStr">
        <is>
          <t>DK</t>
        </is>
      </c>
      <c r="E94" s="13" t="n">
        <v>2025</v>
      </c>
      <c r="F94" s="16" t="n">
        <v>92.45</v>
      </c>
      <c r="G94" s="13" t="inlineStr">
        <is>
          <t>%</t>
        </is>
      </c>
      <c r="H94" s="15" t="inlineStr">
        <is>
          <t>% of SMEs</t>
        </is>
      </c>
      <c r="I94" s="13" t="inlineStr"/>
      <c r="J94" s="14" t="inlineStr">
        <is>
          <t>EC1</t>
        </is>
      </c>
      <c r="K94" s="13" t="inlineStr">
        <is>
          <t>2026-09-12</t>
        </is>
      </c>
      <c r="L94" s="15" t="inlineStr">
        <is>
          <t>EU average 71.39%.</t>
        </is>
      </c>
    </row>
    <row r="95">
      <c r="A95" s="13" t="n">
        <v>94</v>
      </c>
      <c r="B95" s="14" t="inlineStr">
        <is>
          <t>EU.ENT.DII</t>
        </is>
      </c>
      <c r="C95" s="15" t="inlineStr">
        <is>
          <t>SMEs with at least basic digital intensity</t>
        </is>
      </c>
      <c r="D95" s="13" t="inlineStr">
        <is>
          <t>EU27</t>
        </is>
      </c>
      <c r="E95" s="13" t="n">
        <v>2025</v>
      </c>
      <c r="F95" s="16" t="n">
        <v>71.39</v>
      </c>
      <c r="G95" s="13" t="inlineStr">
        <is>
          <t>%</t>
        </is>
      </c>
      <c r="H95" s="15" t="inlineStr">
        <is>
          <t>% of SMEs</t>
        </is>
      </c>
      <c r="I95" s="13" t="inlineStr"/>
      <c r="J95" s="14" t="inlineStr">
        <is>
          <t>EC1</t>
        </is>
      </c>
      <c r="K95" s="13" t="inlineStr">
        <is>
          <t>2026-09-12</t>
        </is>
      </c>
      <c r="L95" s="15" t="inlineStr"/>
    </row>
    <row r="96">
      <c r="A96" s="13" t="n">
        <v>95</v>
      </c>
      <c r="B96" s="14" t="inlineStr">
        <is>
          <t>DK.ENT.AI</t>
        </is>
      </c>
      <c r="C96" s="15" t="inlineStr">
        <is>
          <t>Enterprises adopting AI</t>
        </is>
      </c>
      <c r="D96" s="13" t="inlineStr">
        <is>
          <t>DK</t>
        </is>
      </c>
      <c r="E96" s="13" t="n">
        <v>2025</v>
      </c>
      <c r="F96" s="16" t="n">
        <v>42.03</v>
      </c>
      <c r="G96" s="13" t="inlineStr">
        <is>
          <t>%</t>
        </is>
      </c>
      <c r="H96" s="15" t="inlineStr">
        <is>
          <t>% of enterprises</t>
        </is>
      </c>
      <c r="I96" s="13" t="inlineStr"/>
      <c r="J96" s="14" t="inlineStr">
        <is>
          <t>EC1</t>
        </is>
      </c>
      <c r="K96" s="13" t="inlineStr">
        <is>
          <t>2026-09-12</t>
        </is>
      </c>
      <c r="L96" s="15" t="inlineStr">
        <is>
          <t>EU average 19.95%.</t>
        </is>
      </c>
    </row>
    <row r="97">
      <c r="A97" s="13" t="n">
        <v>96</v>
      </c>
      <c r="B97" s="14" t="inlineStr">
        <is>
          <t>DK.ENT.AI.LRG</t>
        </is>
      </c>
      <c r="C97" s="15" t="inlineStr">
        <is>
          <t>Large enterprises adopting AI</t>
        </is>
      </c>
      <c r="D97" s="13" t="inlineStr">
        <is>
          <t>DK</t>
        </is>
      </c>
      <c r="E97" s="13" t="n">
        <v>2025</v>
      </c>
      <c r="F97" s="16" t="n">
        <v>74.52</v>
      </c>
      <c r="G97" s="13" t="inlineStr">
        <is>
          <t>%</t>
        </is>
      </c>
      <c r="H97" s="15" t="inlineStr">
        <is>
          <t>% of large enterprises (250+)</t>
        </is>
      </c>
      <c r="I97" s="13" t="inlineStr"/>
      <c r="J97" s="14" t="inlineStr">
        <is>
          <t>EC1</t>
        </is>
      </c>
      <c r="K97" s="13" t="inlineStr">
        <is>
          <t>2026-09-12</t>
        </is>
      </c>
      <c r="L97" s="15" t="inlineStr"/>
    </row>
    <row r="98">
      <c r="A98" s="13" t="n">
        <v>97</v>
      </c>
      <c r="B98" s="14" t="inlineStr">
        <is>
          <t>DK.ENT.AI.SME</t>
        </is>
      </c>
      <c r="C98" s="15" t="inlineStr">
        <is>
          <t>SMEs adopting AI</t>
        </is>
      </c>
      <c r="D98" s="13" t="inlineStr">
        <is>
          <t>DK</t>
        </is>
      </c>
      <c r="E98" s="13" t="n">
        <v>2025</v>
      </c>
      <c r="F98" s="16" t="n">
        <v>40.99</v>
      </c>
      <c r="G98" s="13" t="inlineStr">
        <is>
          <t>%</t>
        </is>
      </c>
      <c r="H98" s="15" t="inlineStr">
        <is>
          <t>% of SMEs (10-249)</t>
        </is>
      </c>
      <c r="I98" s="13" t="inlineStr"/>
      <c r="J98" s="14" t="inlineStr">
        <is>
          <t>EC1</t>
        </is>
      </c>
      <c r="K98" s="13" t="inlineStr">
        <is>
          <t>2026-09-12</t>
        </is>
      </c>
      <c r="L98" s="15" t="inlineStr"/>
    </row>
    <row r="99">
      <c r="A99" s="13" t="n">
        <v>98</v>
      </c>
      <c r="B99" s="14" t="inlineStr">
        <is>
          <t>DK.GOV.DPS.CIT</t>
        </is>
      </c>
      <c r="C99" s="15" t="inlineStr">
        <is>
          <t>Digital public services for citizens (score)</t>
        </is>
      </c>
      <c r="D99" s="13" t="inlineStr">
        <is>
          <t>DK</t>
        </is>
      </c>
      <c r="E99" s="13" t="n">
        <v>2025</v>
      </c>
      <c r="F99" s="16" t="n">
        <v>82.2</v>
      </c>
      <c r="G99" s="13" t="inlineStr">
        <is>
          <t>score 0-100</t>
        </is>
      </c>
      <c r="H99" s="15" t="inlineStr">
        <is>
          <t>eGovernment Benchmark score</t>
        </is>
      </c>
      <c r="I99" s="13" t="inlineStr"/>
      <c r="J99" s="14" t="inlineStr">
        <is>
          <t>EC1</t>
        </is>
      </c>
      <c r="K99" s="13" t="inlineStr">
        <is>
          <t>2026-09-12</t>
        </is>
      </c>
      <c r="L99" s="15" t="inlineStr">
        <is>
          <t>BELOW the EU average of 84.64.</t>
        </is>
      </c>
    </row>
    <row r="100">
      <c r="A100" s="13" t="n">
        <v>99</v>
      </c>
      <c r="B100" s="14" t="inlineStr">
        <is>
          <t>EU.GOV.DPS.CIT</t>
        </is>
      </c>
      <c r="C100" s="15" t="inlineStr">
        <is>
          <t>Digital public services for citizens (score)</t>
        </is>
      </c>
      <c r="D100" s="13" t="inlineStr">
        <is>
          <t>EU27</t>
        </is>
      </c>
      <c r="E100" s="13" t="n">
        <v>2025</v>
      </c>
      <c r="F100" s="16" t="n">
        <v>84.64</v>
      </c>
      <c r="G100" s="13" t="inlineStr">
        <is>
          <t>score 0-100</t>
        </is>
      </c>
      <c r="H100" s="15" t="inlineStr">
        <is>
          <t>eGovernment Benchmark score</t>
        </is>
      </c>
      <c r="I100" s="13" t="inlineStr"/>
      <c r="J100" s="14" t="inlineStr">
        <is>
          <t>EC1</t>
        </is>
      </c>
      <c r="K100" s="13" t="inlineStr">
        <is>
          <t>2026-09-12</t>
        </is>
      </c>
      <c r="L100" s="15" t="inlineStr"/>
    </row>
    <row r="101">
      <c r="A101" s="13" t="n">
        <v>100</v>
      </c>
      <c r="B101" s="14" t="inlineStr">
        <is>
          <t>DK.GOV.DPS.XB</t>
        </is>
      </c>
      <c r="C101" s="15" t="inlineStr">
        <is>
          <t>Cross-border digital public services, citizens (score)</t>
        </is>
      </c>
      <c r="D101" s="13" t="inlineStr">
        <is>
          <t>DK</t>
        </is>
      </c>
      <c r="E101" s="13" t="n">
        <v>2025</v>
      </c>
      <c r="F101" s="16" t="n">
        <v>64.40000000000001</v>
      </c>
      <c r="G101" s="13" t="inlineStr">
        <is>
          <t>score 0-100</t>
        </is>
      </c>
      <c r="H101" s="15" t="inlineStr">
        <is>
          <t>eGovernment Benchmark score</t>
        </is>
      </c>
      <c r="I101" s="13" t="inlineStr"/>
      <c r="J101" s="14" t="inlineStr">
        <is>
          <t>EC1</t>
        </is>
      </c>
      <c r="K101" s="13" t="inlineStr">
        <is>
          <t>2026-09-12</t>
        </is>
      </c>
      <c r="L101" s="15" t="inlineStr">
        <is>
          <t>EU average 75.28.</t>
        </is>
      </c>
    </row>
    <row r="102">
      <c r="A102" s="13" t="n">
        <v>101</v>
      </c>
      <c r="B102" s="14" t="inlineStr">
        <is>
          <t>DK.ENV.WEEE</t>
        </is>
      </c>
      <c r="C102" s="15" t="inlineStr">
        <is>
          <t>ICT waste recycled or prepared for reuse</t>
        </is>
      </c>
      <c r="D102" s="13" t="inlineStr">
        <is>
          <t>DK</t>
        </is>
      </c>
      <c r="E102" s="13" t="n">
        <v>2023</v>
      </c>
      <c r="F102" s="16" t="n">
        <v>15.37</v>
      </c>
      <c r="G102" s="13" t="inlineStr">
        <is>
          <t>%</t>
        </is>
      </c>
      <c r="H102" s="15" t="inlineStr">
        <is>
          <t>% of ICT-related WEEE collected</t>
        </is>
      </c>
      <c r="I102" s="13" t="inlineStr"/>
      <c r="J102" s="14" t="inlineStr">
        <is>
          <t>EC1</t>
        </is>
      </c>
      <c r="K102" s="13" t="inlineStr">
        <is>
          <t>2026-09-12</t>
        </is>
      </c>
      <c r="L102" s="15" t="inlineStr">
        <is>
          <t>Among the lowest in the EU; EU average 80.23%.</t>
        </is>
      </c>
    </row>
    <row r="103">
      <c r="A103" s="13" t="n">
        <v>102</v>
      </c>
      <c r="B103" s="14" t="inlineStr">
        <is>
          <t>EU.ENV.WEEE</t>
        </is>
      </c>
      <c r="C103" s="15" t="inlineStr">
        <is>
          <t>ICT waste recycled or prepared for reuse</t>
        </is>
      </c>
      <c r="D103" s="13" t="inlineStr">
        <is>
          <t>EU27</t>
        </is>
      </c>
      <c r="E103" s="13" t="n">
        <v>2023</v>
      </c>
      <c r="F103" s="16" t="n">
        <v>80.23</v>
      </c>
      <c r="G103" s="13" t="inlineStr">
        <is>
          <t>%</t>
        </is>
      </c>
      <c r="H103" s="15" t="inlineStr">
        <is>
          <t>% of ICT-related WEEE collected</t>
        </is>
      </c>
      <c r="I103" s="13" t="inlineStr"/>
      <c r="J103" s="14" t="inlineStr">
        <is>
          <t>EC1</t>
        </is>
      </c>
      <c r="K103" s="13" t="inlineStr">
        <is>
          <t>2026-09-12</t>
        </is>
      </c>
      <c r="L103" s="15" t="inlineStr"/>
    </row>
    <row r="104">
      <c r="A104" s="18" t="n">
        <v>103</v>
      </c>
      <c r="B104" s="19" t="inlineStr">
        <is>
          <t>DK.SME.SMVD.PROJ</t>
        </is>
      </c>
      <c r="C104" s="20" t="inlineStr">
        <is>
          <t>SMV:Digital projects supported since 2018</t>
        </is>
      </c>
      <c r="D104" s="18" t="inlineStr">
        <is>
          <t>DK</t>
        </is>
      </c>
      <c r="E104" s="18" t="n">
        <v>2025</v>
      </c>
      <c r="F104" s="21" t="n">
        <v>7000</v>
      </c>
      <c r="G104" s="18" t="inlineStr">
        <is>
          <t>count</t>
        </is>
      </c>
      <c r="H104" s="20" t="inlineStr">
        <is>
          <t>digitalisation projects</t>
        </is>
      </c>
      <c r="I104" s="18" t="inlineStr">
        <is>
          <t>e</t>
        </is>
      </c>
      <c r="J104" s="19" t="inlineStr">
        <is>
          <t>DG3</t>
        </is>
      </c>
      <c r="K104" s="18" t="inlineStr">
        <is>
          <t>2026-09-12</t>
        </is>
      </c>
      <c r="L104" s="20" t="inlineStr">
        <is>
          <t>Source states 'knap 7.000' (just under 7,000).</t>
        </is>
      </c>
    </row>
    <row r="105">
      <c r="A105" s="13" t="n">
        <v>104</v>
      </c>
      <c r="B105" s="14" t="inlineStr">
        <is>
          <t>DK.SME.SMVD.INV</t>
        </is>
      </c>
      <c r="C105" s="15" t="inlineStr">
        <is>
          <t>Participants who invested further during the project</t>
        </is>
      </c>
      <c r="D105" s="13" t="inlineStr">
        <is>
          <t>DK</t>
        </is>
      </c>
      <c r="E105" s="13" t="n">
        <v>2025</v>
      </c>
      <c r="F105" s="16" t="n">
        <v>65</v>
      </c>
      <c r="G105" s="13" t="inlineStr">
        <is>
          <t>%</t>
        </is>
      </c>
      <c r="H105" s="15" t="inlineStr">
        <is>
          <t>% of participating enterprises</t>
        </is>
      </c>
      <c r="I105" s="13" t="inlineStr"/>
      <c r="J105" s="14" t="inlineStr">
        <is>
          <t>DG3</t>
        </is>
      </c>
      <c r="K105" s="13" t="inlineStr">
        <is>
          <t>2026-09-12</t>
        </is>
      </c>
      <c r="L105" s="15" t="inlineStr"/>
    </row>
    <row r="106">
      <c r="A106" s="13" t="n">
        <v>105</v>
      </c>
      <c r="B106" s="14" t="inlineStr">
        <is>
          <t>DK.SME.SMVD.NOINV</t>
        </is>
      </c>
      <c r="C106" s="15" t="inlineStr">
        <is>
          <t>Participants with no further investment plans</t>
        </is>
      </c>
      <c r="D106" s="13" t="inlineStr">
        <is>
          <t>DK</t>
        </is>
      </c>
      <c r="E106" s="13" t="n">
        <v>2025</v>
      </c>
      <c r="F106" s="16" t="n">
        <v>2</v>
      </c>
      <c r="G106" s="13" t="inlineStr">
        <is>
          <t>%</t>
        </is>
      </c>
      <c r="H106" s="15" t="inlineStr">
        <is>
          <t>% of participating enterprises</t>
        </is>
      </c>
      <c r="I106" s="13" t="inlineStr"/>
      <c r="J106" s="14" t="inlineStr">
        <is>
          <t>DG3</t>
        </is>
      </c>
      <c r="K106" s="13" t="inlineStr">
        <is>
          <t>2026-09-12</t>
        </is>
      </c>
      <c r="L106" s="15" t="inlineStr"/>
    </row>
    <row r="107">
      <c r="A107" s="13" t="n">
        <v>106</v>
      </c>
      <c r="B107" s="14" t="inlineStr">
        <is>
          <t>DK.POP.TOT</t>
        </is>
      </c>
      <c r="C107" s="15" t="inlineStr">
        <is>
          <t>Resident population</t>
        </is>
      </c>
      <c r="D107" s="13" t="inlineStr">
        <is>
          <t>DK</t>
        </is>
      </c>
      <c r="E107" s="13" t="n">
        <v>2026</v>
      </c>
      <c r="F107" s="17" t="n">
        <v>6025603</v>
      </c>
      <c r="G107" s="13" t="inlineStr">
        <is>
          <t>count</t>
        </is>
      </c>
      <c r="H107" s="15" t="inlineStr">
        <is>
          <t>persons resident in Denmark</t>
        </is>
      </c>
      <c r="I107" s="13" t="inlineStr"/>
      <c r="J107" s="14" t="inlineStr">
        <is>
          <t>DST2</t>
        </is>
      </c>
      <c r="K107" s="13" t="inlineStr">
        <is>
          <t>2026-09-12</t>
        </is>
      </c>
      <c r="L107" s="15" t="inlineStr">
        <is>
          <t>As at 1 January 2026.</t>
        </is>
      </c>
    </row>
    <row r="108">
      <c r="A108" s="18" t="n">
        <v>107</v>
      </c>
      <c r="B108" s="19" t="inlineStr">
        <is>
          <t>DK.DGP.EXMP.N</t>
        </is>
      </c>
      <c r="C108" s="20" t="inlineStr">
        <is>
          <t>Citizens formally exempt from Digital Post</t>
        </is>
      </c>
      <c r="D108" s="18" t="inlineStr">
        <is>
          <t>DK</t>
        </is>
      </c>
      <c r="E108" s="18" t="n">
        <v>2025</v>
      </c>
      <c r="F108" s="21" t="n">
        <v>256000</v>
      </c>
      <c r="G108" s="18" t="inlineStr">
        <is>
          <t>count</t>
        </is>
      </c>
      <c r="H108" s="20" t="inlineStr">
        <is>
          <t>citizens aged 15+ resident in Denmark</t>
        </is>
      </c>
      <c r="I108" s="18" t="inlineStr">
        <is>
          <t>e</t>
        </is>
      </c>
      <c r="J108" s="19" t="inlineStr">
        <is>
          <t>DG1</t>
        </is>
      </c>
      <c r="K108" s="18" t="inlineStr">
        <is>
          <t>2026-09-12</t>
        </is>
      </c>
      <c r="L108" s="20" t="inlineStr">
        <is>
          <t>April 2025; source states approx. 256,000.</t>
        </is>
      </c>
    </row>
    <row r="109">
      <c r="A109" s="13" t="n">
        <v>108</v>
      </c>
      <c r="B109" s="14" t="inlineStr">
        <is>
          <t>DK.DGP.EXMP.N</t>
        </is>
      </c>
      <c r="C109" s="15" t="inlineStr">
        <is>
          <t>Citizens formally exempt from Digital Post</t>
        </is>
      </c>
      <c r="D109" s="13" t="inlineStr">
        <is>
          <t>DK</t>
        </is>
      </c>
      <c r="E109" s="13" t="n">
        <v>2026</v>
      </c>
      <c r="F109" s="17" t="n">
        <v>238479</v>
      </c>
      <c r="G109" s="13" t="inlineStr">
        <is>
          <t>count</t>
        </is>
      </c>
      <c r="H109" s="15" t="inlineStr">
        <is>
          <t>citizens aged 15+ resident in Denmark</t>
        </is>
      </c>
      <c r="I109" s="13" t="inlineStr"/>
      <c r="J109" s="14" t="inlineStr">
        <is>
          <t>DG1</t>
        </is>
      </c>
      <c r="K109" s="13" t="inlineStr">
        <is>
          <t>2026-09-12</t>
        </is>
      </c>
      <c r="L109" s="15" t="inlineStr">
        <is>
          <t>Q1 2026. Paired with the 4.7% rate, implies a 15+ base of about 5.07m.</t>
        </is>
      </c>
    </row>
    <row r="110">
      <c r="A110" s="18" t="n">
        <v>109</v>
      </c>
      <c r="B110" s="19" t="inlineStr">
        <is>
          <t>DK.GOV.DGP.SAVE.PLAN</t>
        </is>
      </c>
      <c r="C110" s="20" t="inlineStr">
        <is>
          <t>Digital Post: projected annual public saving</t>
        </is>
      </c>
      <c r="D110" s="18" t="inlineStr">
        <is>
          <t>DK</t>
        </is>
      </c>
      <c r="E110" s="18" t="n">
        <v>2016</v>
      </c>
      <c r="F110" s="22" t="n">
        <v>1000</v>
      </c>
      <c r="G110" s="18" t="inlineStr">
        <is>
          <t>million DKK per year</t>
        </is>
      </c>
      <c r="H110" s="20" t="inlineStr">
        <is>
          <t>projected annual saving, whole public sector</t>
        </is>
      </c>
      <c r="I110" s="18" t="inlineStr">
        <is>
          <t>e</t>
        </is>
      </c>
      <c r="J110" s="19" t="inlineStr">
        <is>
          <t>RR1</t>
        </is>
      </c>
      <c r="K110" s="18" t="inlineStr">
        <is>
          <t>2026-09-12</t>
        </is>
      </c>
      <c r="L110" s="20" t="inlineStr">
        <is>
          <t>Ministry of Finance business case; Rigsrevisionen reports it as 'approx. 1bn'.</t>
        </is>
      </c>
    </row>
    <row r="111">
      <c r="A111" s="18" t="n">
        <v>110</v>
      </c>
      <c r="B111" s="19" t="inlineStr">
        <is>
          <t>DK.GOV.DGP.SAVE.VERIF</t>
        </is>
      </c>
      <c r="C111" s="20" t="inlineStr">
        <is>
          <t>Digital Post: annual saving verifiable by audit</t>
        </is>
      </c>
      <c r="D111" s="18" t="inlineStr">
        <is>
          <t>DK</t>
        </is>
      </c>
      <c r="E111" s="18" t="n">
        <v>2016</v>
      </c>
      <c r="F111" s="22" t="n">
        <v>450</v>
      </c>
      <c r="G111" s="18" t="inlineStr">
        <is>
          <t>million DKK per year</t>
        </is>
      </c>
      <c r="H111" s="20" t="inlineStr">
        <is>
          <t>verified annual saving, whole public sector</t>
        </is>
      </c>
      <c r="I111" s="18" t="inlineStr">
        <is>
          <t>e</t>
        </is>
      </c>
      <c r="J111" s="19" t="inlineStr">
        <is>
          <t>RR1</t>
        </is>
      </c>
      <c r="K111" s="18" t="inlineStr">
        <is>
          <t>2026-09-12</t>
        </is>
      </c>
      <c r="L111" s="20" t="inlineStr">
        <is>
          <t>Postage, paper and envelopes only. The wage and overhead component was never verified: the cross-government study was abandoned after KL declined to take part.</t>
        </is>
      </c>
    </row>
  </sheetData>
  <autoFilter ref="A1:L1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paa ca. 1 mia. kr. om aaret,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paa ca. 1 mia. kr. om aaret,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section 81</t>
        </is>
      </c>
      <c r="D19" s="15" t="inlineStr">
        <is>
          <t>Lov om betalinger, ss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Detailomsaetningsindeks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44" customHeight="1">
      <c r="A2" s="24" t="inlineStr">
        <is>
          <t>DK.PAY.CASH.POS</t>
        </is>
      </c>
      <c r="B2" s="15" t="inlineStr">
        <is>
          <t>Cash as a share of the NUMBER of payments made at physical points of sale.</t>
        </is>
      </c>
      <c r="C2" s="15" t="inlineStr">
        <is>
          <t>Not a share of value. Excludes e-commerce entirely.</t>
        </is>
      </c>
    </row>
    <row r="3" ht="44" customHeight="1">
      <c r="A3" s="24" t="inlineStr">
        <is>
          <t>DK.PAY.CRD.PHYS</t>
        </is>
      </c>
      <c r="B3" s="15" t="inlineStr">
        <is>
          <t>Physical payment cards as a share of the number of in-store payments.</t>
        </is>
      </c>
      <c r="C3" s="15" t="inlineStr">
        <is>
          <t>Falls partly because wallets replace the physical card, not because card payment declines.</t>
        </is>
      </c>
    </row>
    <row r="4" ht="44" customHeight="1">
      <c r="A4" s="24" t="inlineStr">
        <is>
          <t>DK.PAY.WLT.SHR</t>
        </is>
      </c>
      <c r="B4" s="15" t="inlineStr">
        <is>
          <t>Card-based mobile wallets as a share of the number of in-store payments.</t>
        </is>
      </c>
      <c r="C4" s="15" t="inlineStr">
        <is>
          <t>Wallet payments are card payments. Do not add to the card share.</t>
        </is>
      </c>
    </row>
    <row r="5" ht="44" customHeight="1">
      <c r="A5" s="24" t="inlineStr">
        <is>
          <t>DK.PAY.WLT.OWN</t>
        </is>
      </c>
      <c r="B5" s="15" t="inlineStr">
        <is>
          <t>Share of CITIZENS with a wallet solution on their phone.</t>
        </is>
      </c>
      <c r="C5" s="15" t="inlineStr">
        <is>
          <t>Different denominator from the payment-share series. Memo only - deliberately excluded from Figure 2.</t>
        </is>
      </c>
    </row>
    <row r="6" ht="44" customHeight="1">
      <c r="A6" s="24" t="inlineStr">
        <is>
          <t>DK.FIN.BRCH</t>
        </is>
      </c>
      <c r="B6" s="15" t="inlineStr">
        <is>
          <t>Number of retail bank branches operated by Danish credit institutions.</t>
        </is>
      </c>
      <c r="C6" s="15" t="inlineStr">
        <is>
          <t>Consolidation and digitalisation both reduce this. The series alone cannot separate the two causes.</t>
        </is>
      </c>
    </row>
    <row r="7" ht="44" customHeight="1">
      <c r="A7" s="24" t="inlineStr">
        <is>
          <t>DK.ECM.IND.BUY</t>
        </is>
      </c>
      <c r="B7" s="15" t="inlineStr">
        <is>
          <t>Individuals who purchased goods or services online in the last 12 months.</t>
        </is>
      </c>
      <c r="C7" s="15" t="inlineStr">
        <is>
          <t>DENOMINATOR BREAK at 2020: % of individuals before, % of internet users after. Never plot 2019 with later years.</t>
        </is>
      </c>
    </row>
    <row r="8" ht="44" customHeight="1">
      <c r="A8" s="24" t="inlineStr">
        <is>
          <t>DK.ECM.ENT.TRN</t>
        </is>
      </c>
      <c r="B8" s="15" t="inlineStr">
        <is>
          <t>E-commerce sales as a share of total enterprise turnover.</t>
        </is>
      </c>
      <c r="C8" s="15" t="inlineStr">
        <is>
          <t>Measures INTENSITY of online selling, not how many firms sell online. Pair with DK.ECM.ENT.SHR.</t>
        </is>
      </c>
    </row>
    <row r="9" ht="44" customHeight="1">
      <c r="A9" s="24" t="inlineStr">
        <is>
          <t>DK.ECM.ENT.SHR</t>
        </is>
      </c>
      <c r="B9" s="15" t="inlineStr">
        <is>
          <t>Share of enterprises making any e-sales.</t>
        </is>
      </c>
      <c r="C9" s="15" t="inlineStr">
        <is>
          <t>Measures BREADTH of adoption. Flat breadth with rising intensity means incumbents deepening, not new entrants.</t>
        </is>
      </c>
    </row>
    <row r="10" ht="44" customHeight="1">
      <c r="A10" s="24" t="inlineStr">
        <is>
          <t>DK.DGP.EXMP</t>
        </is>
      </c>
      <c r="B10" s="15" t="inlineStr">
        <is>
          <t>Citizens formally exempt from mandatory Digital Post under the statutory exemption regime.</t>
        </is>
      </c>
      <c r="C10" s="15" t="inlineStr">
        <is>
          <t>An administrative status, not a measure of capability. A citizen may struggle without being exempt.</t>
        </is>
      </c>
    </row>
    <row r="11" ht="44" customHeight="1">
      <c r="A11" s="24" t="inlineStr">
        <is>
          <t>DK.DGX.DIFF</t>
        </is>
      </c>
      <c r="B11" s="15" t="inlineStr">
        <is>
          <t>Population estimated to face difficulties using digital public services.</t>
        </is>
      </c>
      <c r="C11" s="15" t="inlineStr">
        <is>
          <t>A capability estimate, not an administrative count. Much larger than the exemption rate - that gap is the analytical point.</t>
        </is>
      </c>
    </row>
    <row r="12" ht="44" customHeight="1">
      <c r="A12" s="24" t="inlineStr">
        <is>
          <t>DK.DGX.JUST</t>
        </is>
      </c>
      <c r="B12" s="15" t="inlineStr">
        <is>
          <t>Justitia's estimate of the digitally disadvantaged adult population.</t>
        </is>
      </c>
      <c r="C12" s="15" t="inlineStr">
        <is>
          <t>Think-tank estimate, broadest definition of the five. Cite as an upper bound, not as an official statistic.</t>
        </is>
      </c>
    </row>
    <row r="13" ht="44" customHeight="1">
      <c r="A13" s="24" t="inlineStr">
        <is>
          <t>DK.GOV.DPS.CIT</t>
        </is>
      </c>
      <c r="B13" s="15" t="inlineStr">
        <is>
          <t>eGovernment Benchmark composite score for citizen-facing digital public services.</t>
        </is>
      </c>
      <c r="C13" s="15" t="inlineStr">
        <is>
          <t>A composite index, not a usage rate. Denmark scores BELOW the EU average despite near-universal mandated use.</t>
        </is>
      </c>
    </row>
    <row r="14" ht="44" customHeight="1">
      <c r="A14" s="24" t="inlineStr">
        <is>
          <t>DK.ENV.WEEE</t>
        </is>
      </c>
      <c r="B14" s="15" t="inlineStr">
        <is>
          <t>Share of collected ICT-related electrical waste recycled or prepared for reuse.</t>
        </is>
      </c>
      <c r="C14" s="15" t="inlineStr">
        <is>
          <t>Covers two WEEE categories only. Denominator is waste COLLECTED, not waste generated.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5"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6" t="inlineStr">
        <is>
          <t>Bank branches, 2004</t>
        </is>
      </c>
      <c r="B5" s="27">
        <f>IF(COUNTIFS('02_MASTER'!$B:$B,"DK.FIN.BRCH",'02_MASTER'!$E:$E,2004)=0,"",SUMIFS('02_MASTER'!$F:$F,'02_MASTER'!$B:$B,"DK.FIN.BRCH",'02_MASTER'!$E:$E,2004))</f>
        <v/>
      </c>
      <c r="C5" s="28" t="inlineStr">
        <is>
          <t>count</t>
        </is>
      </c>
      <c r="D5" s="29" t="inlineStr">
        <is>
          <t>Direct lookup from 02_MASTER.</t>
        </is>
      </c>
    </row>
    <row r="6" ht="30" customHeight="1">
      <c r="A6" s="26" t="inlineStr">
        <is>
          <t>Bank branches, 2024</t>
        </is>
      </c>
      <c r="B6" s="27">
        <f>IF(COUNTIFS('02_MASTER'!$B:$B,"DK.FIN.BRCH",'02_MASTER'!$E:$E,2024)=0,"",SUMIFS('02_MASTER'!$F:$F,'02_MASTER'!$B:$B,"DK.FIN.BRCH",'02_MASTER'!$E:$E,2024))</f>
        <v/>
      </c>
      <c r="C6" s="28" t="inlineStr">
        <is>
          <t>count</t>
        </is>
      </c>
      <c r="D6" s="29" t="inlineStr">
        <is>
          <t>Direct lookup from 02_MASTER.</t>
        </is>
      </c>
    </row>
    <row r="7" ht="30" customHeight="1">
      <c r="A7" s="26" t="inlineStr">
        <is>
          <t>Branch network change, 2004-2024</t>
        </is>
      </c>
      <c r="B7" s="30">
        <f>(IF(COUNTIFS('02_MASTER'!$B:$B,"DK.FIN.BRCH",'02_MASTER'!$E:$E,2024)=0,"",SUMIFS('02_MASTER'!$F:$F,'02_MASTER'!$B:$B,"DK.FIN.BRCH",'02_MASTER'!$E:$E,2024))/IF(COUNTIFS('02_MASTER'!$B:$B,"DK.FIN.BRCH",'02_MASTER'!$E:$E,2004)=0,"",SUMIFS('02_MASTER'!$F:$F,'02_MASTER'!$B:$B,"DK.FIN.BRCH",'02_MASTER'!$E:$E,2004)))-1</f>
        <v/>
      </c>
      <c r="C7" s="28" t="inlineStr">
        <is>
          <t>%</t>
        </is>
      </c>
      <c r="D7" s="29" t="inlineStr">
        <is>
          <t>Headline structural change for Figure 1.</t>
        </is>
      </c>
    </row>
    <row r="8" ht="30" customHeight="1">
      <c r="A8" s="26" t="inlineStr">
        <is>
          <t>Cash share change, 2017-2025</t>
        </is>
      </c>
      <c r="B8" s="31">
        <f>IF(COUNTIFS('02_MASTER'!$B:$B,"DK.PAY.CASH.POS",'02_MASTER'!$E:$E,2025)=0,"",SUMIFS('02_MASTER'!$F:$F,'02_MASTER'!$B:$B,"DK.PAY.CASH.POS",'02_MASTER'!$E:$E,2025))-IF(COUNTIFS('02_MASTER'!$B:$B,"DK.PAY.CASH.POS",'02_MASTER'!$E:$E,2017)=0,"",SUMIFS('02_MASTER'!$F:$F,'02_MASTER'!$B:$B,"DK.PAY.CASH.POS",'02_MASTER'!$E:$E,2017))</f>
        <v/>
      </c>
      <c r="C8" s="28" t="inlineStr">
        <is>
          <t>pp</t>
        </is>
      </c>
      <c r="D8" s="29" t="inlineStr">
        <is>
          <t>Percentage-point change, not a growth rate - both terms are shares.</t>
        </is>
      </c>
    </row>
    <row r="9" ht="30" customHeight="1">
      <c r="A9" s="26" t="inlineStr">
        <is>
          <t>Cash share, proportional decline 2017-2025</t>
        </is>
      </c>
      <c r="B9" s="30">
        <f>(IF(COUNTIFS('02_MASTER'!$B:$B,"DK.PAY.CASH.POS",'02_MASTER'!$E:$E,2025)=0,"",SUMIFS('02_MASTER'!$F:$F,'02_MASTER'!$B:$B,"DK.PAY.CASH.POS",'02_MASTER'!$E:$E,2025))/IF(COUNTIFS('02_MASTER'!$B:$B,"DK.PAY.CASH.POS",'02_MASTER'!$E:$E,2017)=0,"",SUMIFS('02_MASTER'!$F:$F,'02_MASTER'!$B:$B,"DK.PAY.CASH.POS",'02_MASTER'!$E:$E,2017)))-1</f>
        <v/>
      </c>
      <c r="C9" s="28" t="inlineStr">
        <is>
          <t>%</t>
        </is>
      </c>
      <c r="D9" s="29" t="inlineStr">
        <is>
          <t>Cash fell to roughly a third of its 2017 share.</t>
        </is>
      </c>
    </row>
    <row r="10" ht="30" customHeight="1">
      <c r="A10" s="26" t="inlineStr">
        <is>
          <t>DK e-sales turnover share, change 2014-2024</t>
        </is>
      </c>
      <c r="B10" s="30">
        <f>(IF(COUNTIFS('02_MASTER'!$B:$B,"DK.ECM.ENT.TRN",'02_MASTER'!$E:$E,2024)=0,"",SUMIFS('02_MASTER'!$F:$F,'02_MASTER'!$B:$B,"DK.ECM.ENT.TRN",'02_MASTER'!$E:$E,2024))/IF(COUNTIFS('02_MASTER'!$B:$B,"DK.ECM.ENT.TRN",'02_MASTER'!$E:$E,2014)=0,"",SUMIFS('02_MASTER'!$F:$F,'02_MASTER'!$B:$B,"DK.ECM.ENT.TRN",'02_MASTER'!$E:$E,2014)))-1</f>
        <v/>
      </c>
      <c r="C10" s="28" t="inlineStr">
        <is>
          <t>%</t>
        </is>
      </c>
      <c r="D10" s="29" t="inlineStr">
        <is>
          <t>Tests the 'enterprise plateau' claim. Intensity nearly doubled.</t>
        </is>
      </c>
    </row>
    <row r="11" ht="30" customHeight="1">
      <c r="A11" s="26" t="inlineStr">
        <is>
          <t>EU e-sales turnover share, change 2014-2024</t>
        </is>
      </c>
      <c r="B11" s="30">
        <f>(IF(COUNTIFS('02_MASTER'!$B:$B,"EU.ECM.ENT.TRN",'02_MASTER'!$E:$E,2024)=0,"",SUMIFS('02_MASTER'!$F:$F,'02_MASTER'!$B:$B,"EU.ECM.ENT.TRN",'02_MASTER'!$E:$E,2024))/IF(COUNTIFS('02_MASTER'!$B:$B,"EU.ECM.ENT.TRN",'02_MASTER'!$E:$E,2014)=0,"",SUMIFS('02_MASTER'!$F:$F,'02_MASTER'!$B:$B,"EU.ECM.ENT.TRN",'02_MASTER'!$E:$E,2014)))-1</f>
        <v/>
      </c>
      <c r="C11" s="28" t="inlineStr">
        <is>
          <t>%</t>
        </is>
      </c>
      <c r="D11" s="29" t="inlineStr">
        <is>
          <t>Comparator for the line above.</t>
        </is>
      </c>
    </row>
    <row r="12" ht="30" customHeight="1">
      <c r="A12" s="26" t="inlineStr">
        <is>
          <t>DK lead over EU on e-sales turnover, 2024</t>
        </is>
      </c>
      <c r="B12" s="31">
        <f>IF(COUNTIFS('02_MASTER'!$B:$B,"DK.ECM.ENT.TRN",'02_MASTER'!$E:$E,2024)=0,"",SUMIFS('02_MASTER'!$F:$F,'02_MASTER'!$B:$B,"DK.ECM.ENT.TRN",'02_MASTER'!$E:$E,2024))-IF(COUNTIFS('02_MASTER'!$B:$B,"EU.ECM.ENT.TRN",'02_MASTER'!$E:$E,2024)=0,"",SUMIFS('02_MASTER'!$F:$F,'02_MASTER'!$B:$B,"EU.ECM.ENT.TRN",'02_MASTER'!$E:$E,2024))</f>
        <v/>
      </c>
      <c r="C12" s="28" t="inlineStr">
        <is>
          <t>pp</t>
        </is>
      </c>
      <c r="D12" s="29" t="inlineStr">
        <is>
          <t>Denmark's margin over the EU average.</t>
        </is>
      </c>
    </row>
    <row r="13" ht="30" customHeight="1">
      <c r="A13" s="26" t="inlineStr">
        <is>
          <t>Exclusion ratio: difficulty vs formal exemption</t>
        </is>
      </c>
      <c r="B13" s="31">
        <f>IF(COUNTIFS('02_MASTER'!$B:$B,"DK.DGX.DIFF",'02_MASTER'!$E:$E,2026)=0,"",SUMIFS('02_MASTER'!$F:$F,'02_MASTER'!$B:$B,"DK.DGX.DIFF",'02_MASTER'!$E:$E,2026))/IF(COUNTIFS('02_MASTER'!$B:$B,"DK.DGP.EXMP",'02_MASTER'!$E:$E,2026)=0,"",SUMIFS('02_MASTER'!$F:$F,'02_MASTER'!$B:$B,"DK.DGP.EXMP",'02_MASTER'!$E:$E,2026))</f>
        <v/>
      </c>
      <c r="C13" s="28" t="inlineStr">
        <is>
          <t>ratio</t>
        </is>
      </c>
      <c r="D13" s="29" t="inlineStr">
        <is>
          <t>How many times larger the capability measure is than the administrative one. The core Q4 statistic.</t>
        </is>
      </c>
    </row>
    <row r="14" ht="30" customHeight="1">
      <c r="A14" s="26" t="inlineStr">
        <is>
          <t>Citizens struggling but NOT exempt</t>
        </is>
      </c>
      <c r="B14" s="31">
        <f>IF(COUNTIFS('02_MASTER'!$B:$B,"DK.DGX.DIFF",'02_MASTER'!$E:$E,2026)=0,"",SUMIFS('02_MASTER'!$F:$F,'02_MASTER'!$B:$B,"DK.DGX.DIFF",'02_MASTER'!$E:$E,2026))-IF(COUNTIFS('02_MASTER'!$B:$B,"DK.DGP.EXMP",'02_MASTER'!$E:$E,2026)=0,"",SUMIFS('02_MASTER'!$F:$F,'02_MASTER'!$B:$B,"DK.DGP.EXMP",'02_MASTER'!$E:$E,2026))</f>
        <v/>
      </c>
      <c r="C14" s="28" t="inlineStr">
        <is>
          <t>pp</t>
        </is>
      </c>
      <c r="D14" s="29" t="inlineStr">
        <is>
          <t>Population facing difficulty without statutory relief.</t>
        </is>
      </c>
    </row>
    <row r="15" ht="30" customHeight="1">
      <c r="A15" s="26" t="inlineStr">
        <is>
          <t>Digital skills gap, 16-24 vs 55-74</t>
        </is>
      </c>
      <c r="B15" s="31">
        <f>IF(COUNTIFS('02_MASTER'!$B:$B,"DK.SKL.1624",'02_MASTER'!$E:$E,2025)=0,"",SUMIFS('02_MASTER'!$F:$F,'02_MASTER'!$B:$B,"DK.SKL.1624",'02_MASTER'!$E:$E,2025))-IF(COUNTIFS('02_MASTER'!$B:$B,"DK.SKL.5574",'02_MASTER'!$E:$E,2025)=0,"",SUMIFS('02_MASTER'!$F:$F,'02_MASTER'!$B:$B,"DK.SKL.5574",'02_MASTER'!$E:$E,2025))</f>
        <v/>
      </c>
      <c r="C15" s="28" t="inlineStr">
        <is>
          <t>pp</t>
        </is>
      </c>
      <c r="D15" s="29" t="inlineStr">
        <is>
          <t>Generational gradient in basic digital skills.</t>
        </is>
      </c>
    </row>
    <row r="16" ht="30" customHeight="1">
      <c r="A16" s="26" t="inlineStr">
        <is>
          <t>AI adoption gap, large firms vs SMEs</t>
        </is>
      </c>
      <c r="B16" s="31">
        <f>IF(COUNTIFS('02_MASTER'!$B:$B,"DK.ENT.AI.LRG",'02_MASTER'!$E:$E,2025)=0,"",SUMIFS('02_MASTER'!$F:$F,'02_MASTER'!$B:$B,"DK.ENT.AI.LRG",'02_MASTER'!$E:$E,2025))-IF(COUNTIFS('02_MASTER'!$B:$B,"DK.ENT.AI.SME",'02_MASTER'!$E:$E,2025)=0,"",SUMIFS('02_MASTER'!$F:$F,'02_MASTER'!$B:$B,"DK.ENT.AI.SME",'02_MASTER'!$E:$E,2025))</f>
        <v/>
      </c>
      <c r="C16" s="28" t="inlineStr">
        <is>
          <t>pp</t>
        </is>
      </c>
      <c r="D16" s="29" t="inlineStr">
        <is>
          <t>Depth-of-adoption gap behind the 'breadth without depth' finding.</t>
        </is>
      </c>
    </row>
    <row r="17" ht="30" customHeight="1">
      <c r="A17" s="26" t="inlineStr">
        <is>
          <t>DK shortfall vs EU, citizen digital public services</t>
        </is>
      </c>
      <c r="B17" s="31">
        <f>IF(COUNTIFS('02_MASTER'!$B:$B,"DK.GOV.DPS.CIT",'02_MASTER'!$E:$E,2025)=0,"",SUMIFS('02_MASTER'!$F:$F,'02_MASTER'!$B:$B,"DK.GOV.DPS.CIT",'02_MASTER'!$E:$E,2025))-IF(COUNTIFS('02_MASTER'!$B:$B,"EU.GOV.DPS.CIT",'02_MASTER'!$E:$E,2025)=0,"",SUMIFS('02_MASTER'!$F:$F,'02_MASTER'!$B:$B,"EU.GOV.DPS.CIT",'02_MASTER'!$E:$E,2025))</f>
        <v/>
      </c>
      <c r="C17" s="28" t="inlineStr">
        <is>
          <t>points</t>
        </is>
      </c>
      <c r="D17" s="29" t="inlineStr">
        <is>
          <t>Negative: Denmark scores below the EU average.</t>
        </is>
      </c>
    </row>
    <row r="18" ht="30" customHeight="1">
      <c r="A18" s="26" t="inlineStr">
        <is>
          <t>DK shortfall vs EU, ICT waste recycling</t>
        </is>
      </c>
      <c r="B18" s="31">
        <f>IF(COUNTIFS('02_MASTER'!$B:$B,"DK.ENV.WEEE",'02_MASTER'!$E:$E,2023)=0,"",SUMIFS('02_MASTER'!$F:$F,'02_MASTER'!$B:$B,"DK.ENV.WEEE",'02_MASTER'!$E:$E,2023))-IF(COUNTIFS('02_MASTER'!$B:$B,"EU.ENV.WEEE",'02_MASTER'!$E:$E,2023)=0,"",SUMIFS('02_MASTER'!$F:$F,'02_MASTER'!$B:$B,"EU.ENV.WEEE",'02_MASTER'!$E:$E,2023))</f>
        <v/>
      </c>
      <c r="C18" s="28" t="inlineStr">
        <is>
          <t>pp</t>
        </is>
      </c>
      <c r="D18" s="29" t="inlineStr">
        <is>
          <t>Negative and large - candidate SDG evidence.</t>
        </is>
      </c>
    </row>
    <row r="19" ht="30" customHeight="1">
      <c r="A19" s="26" t="inlineStr">
        <is>
          <t>Trust in digital public solutions, change 2024-2025</t>
        </is>
      </c>
      <c r="B19" s="31">
        <f>IF(COUNTIFS('02_MASTER'!$B:$B,"DK.TRU.DPS",'02_MASTER'!$E:$E,2025)=0,"",SUMIFS('02_MASTER'!$F:$F,'02_MASTER'!$B:$B,"DK.TRU.DPS",'02_MASTER'!$E:$E,2025))-IF(COUNTIFS('02_MASTER'!$B:$B,"DK.TRU.DPS",'02_MASTER'!$E:$E,2024)=0,"",SUMIFS('02_MASTER'!$F:$F,'02_MASTER'!$B:$B,"DK.TRU.DPS",'02_MASTER'!$E:$E,2024))</f>
        <v/>
      </c>
      <c r="C19" s="28" t="inlineStr">
        <is>
          <t>pp</t>
        </is>
      </c>
      <c r="D19" s="29" t="inlineStr">
        <is>
          <t>Trust rising while the mandate is in force.</t>
        </is>
      </c>
    </row>
    <row r="20" ht="30" customHeight="1">
      <c r="A20" s="26" t="inlineStr">
        <is>
          <t>Perceived security of Digital Post, change 2017-2025</t>
        </is>
      </c>
      <c r="B20" s="31">
        <f>IF(COUNTIFS('02_MASTER'!$B:$B,"DK.TRU.DGP.SEC",'02_MASTER'!$E:$E,2025)=0,"",SUMIFS('02_MASTER'!$F:$F,'02_MASTER'!$B:$B,"DK.TRU.DGP.SEC",'02_MASTER'!$E:$E,2025))-IF(COUNTIFS('02_MASTER'!$B:$B,"DK.TRU.DGP.SEC",'02_MASTER'!$E:$E,2017)=0,"",SUMIFS('02_MASTER'!$F:$F,'02_MASTER'!$B:$B,"DK.TRU.DGP.SEC",'02_MASTER'!$E:$E,2017))</f>
        <v/>
      </c>
      <c r="C20" s="28" t="inlineStr">
        <is>
          <t>pp</t>
        </is>
      </c>
      <c r="D20" s="29" t="inlineStr">
        <is>
          <t>Trust in the mandated system over the mandate period (CLO4).</t>
        </is>
      </c>
    </row>
    <row r="21" ht="30" customHeight="1">
      <c r="A21" s="26" t="inlineStr">
        <is>
          <t>Digital Post: projected annual saving</t>
        </is>
      </c>
      <c r="B21" s="31">
        <f>IF(COUNTIFS('02_MASTER'!$B:$B,"DK.GOV.DGP.SAVE.PLAN",'02_MASTER'!$E:$E,2016)=0,"",SUMIFS('02_MASTER'!$F:$F,'02_MASTER'!$B:$B,"DK.GOV.DGP.SAVE.PLAN",'02_MASTER'!$E:$E,2016))</f>
        <v/>
      </c>
      <c r="C21" s="28" t="inlineStr">
        <is>
          <t>mDKK/yr</t>
        </is>
      </c>
      <c r="D21" s="29" t="inlineStr">
        <is>
          <t>Ministry of Finance business case for the mandate (RR1).</t>
        </is>
      </c>
    </row>
    <row r="22" ht="30" customHeight="1">
      <c r="A22" s="26" t="inlineStr">
        <is>
          <t>Digital Post: saving verifiable by audit</t>
        </is>
      </c>
      <c r="B22" s="31">
        <f>IF(COUNTIFS('02_MASTER'!$B:$B,"DK.GOV.DGP.SAVE.VERIF",'02_MASTER'!$E:$E,2016)=0,"",SUMIFS('02_MASTER'!$F:$F,'02_MASTER'!$B:$B,"DK.GOV.DGP.SAVE.VERIF",'02_MASTER'!$E:$E,2016))</f>
        <v/>
      </c>
      <c r="C22" s="28" t="inlineStr">
        <is>
          <t>mDKK/yr</t>
        </is>
      </c>
      <c r="D22" s="29" t="inlineStr">
        <is>
          <t>Postage, paper and envelopes only (RR1).</t>
        </is>
      </c>
    </row>
    <row r="23" ht="30" customHeight="1">
      <c r="A23" s="26" t="inlineStr">
        <is>
          <t>Digital Post: unverified share of the business case</t>
        </is>
      </c>
      <c r="B23" s="30">
        <f>1-(IF(COUNTIFS('02_MASTER'!$B:$B,"DK.GOV.DGP.SAVE.VERIF",'02_MASTER'!$E:$E,2016)=0,"",SUMIFS('02_MASTER'!$F:$F,'02_MASTER'!$B:$B,"DK.GOV.DGP.SAVE.VERIF",'02_MASTER'!$E:$E,2016))/IF(COUNTIFS('02_MASTER'!$B:$B,"DK.GOV.DGP.SAVE.PLAN",'02_MASTER'!$E:$E,2016)=0,"",SUMIFS('02_MASTER'!$F:$F,'02_MASTER'!$B:$B,"DK.GOV.DGP.SAVE.PLAN",'02_MASTER'!$E:$E,2016)))</f>
        <v/>
      </c>
      <c r="C23" s="28" t="inlineStr">
        <is>
          <t>%</t>
        </is>
      </c>
      <c r="D23" s="29" t="inlineStr">
        <is>
          <t>Over half the projected saving - the wage and overhead component - was never substantiated. The cross-government study intended to test it was abandoned. The strongest cost-side finding in this workbook.</t>
        </is>
      </c>
    </row>
    <row r="24" ht="30" customHeight="1">
      <c r="A24" s="26" t="inlineStr">
        <is>
          <t>Digital Post: cost per formally exempt citizen, if the shortfall is real</t>
        </is>
      </c>
      <c r="B24" s="31">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8" t="inlineStr">
        <is>
          <t>DKK</t>
        </is>
      </c>
      <c r="D24" s="29" t="inlineStr">
        <is>
          <t>ILLUSTRATIVE ONLY, and not a real unit cost: it divides an unverified saving shortfall by an unrelated headcount. Included because the comparison of magnitudes is informative; it must not be quoted as a cost per person.</t>
        </is>
      </c>
    </row>
    <row r="25" ht="30" customHeight="1">
      <c r="A25" s="26" t="inlineStr">
        <is>
          <t>Resident population, 1 January 2026</t>
        </is>
      </c>
      <c r="B25" s="27">
        <f>IF(COUNTIFS('02_MASTER'!$B:$B,"DK.POP.TOT",'02_MASTER'!$E:$E,2026)=0,"",SUMIFS('02_MASTER'!$F:$F,'02_MASTER'!$B:$B,"DK.POP.TOT",'02_MASTER'!$E:$E,2026))</f>
        <v/>
      </c>
      <c r="C25" s="28" t="inlineStr">
        <is>
          <t>count</t>
        </is>
      </c>
      <c r="D25" s="29" t="inlineStr">
        <is>
          <t>Direct lookup. The only population level in the workbook (DST2).</t>
        </is>
      </c>
    </row>
    <row r="26" ht="30" customHeight="1">
      <c r="A26" s="26" t="inlineStr">
        <is>
          <t>Citizens formally exempt from Digital Post, Q1 2026</t>
        </is>
      </c>
      <c r="B26" s="27">
        <f>IF(COUNTIFS('02_MASTER'!$B:$B,"DK.DGP.EXMP.N",'02_MASTER'!$E:$E,2026)=0,"",SUMIFS('02_MASTER'!$F:$F,'02_MASTER'!$B:$B,"DK.DGP.EXMP.N",'02_MASTER'!$E:$E,2026))</f>
        <v/>
      </c>
      <c r="C26" s="28" t="inlineStr">
        <is>
          <t>count</t>
        </is>
      </c>
      <c r="D26" s="29" t="inlineStr">
        <is>
          <t>Headcount behind the 4.7% rate (DG1).</t>
        </is>
      </c>
    </row>
    <row r="27" ht="30" customHeight="1">
      <c r="A27" s="26" t="inlineStr">
        <is>
          <t>Change in exempt headcount, 2025 to 2026</t>
        </is>
      </c>
      <c r="B27" s="27">
        <f>IF(COUNTIFS('02_MASTER'!$B:$B,"DK.DGP.EXMP.N",'02_MASTER'!$E:$E,2026)=0,"",SUMIFS('02_MASTER'!$F:$F,'02_MASTER'!$B:$B,"DK.DGP.EXMP.N",'02_MASTER'!$E:$E,2026))-IF(COUNTIFS('02_MASTER'!$B:$B,"DK.DGP.EXMP.N",'02_MASTER'!$E:$E,2025)=0,"",SUMIFS('02_MASTER'!$F:$F,'02_MASTER'!$B:$B,"DK.DGP.EXMP.N",'02_MASTER'!$E:$E,2025))</f>
        <v/>
      </c>
      <c r="C27" s="28" t="inlineStr">
        <is>
          <t>count</t>
        </is>
      </c>
      <c r="D27" s="29"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5" t="inlineStr">
        <is>
          <t>Series DK.FIN.BRCH. Values are formula lookups from 02_MASTER.</t>
        </is>
      </c>
    </row>
    <row r="3">
      <c r="D3" s="32" t="inlineStr">
        <is>
          <t>Bank branches in Denmark, 2004-2024</t>
        </is>
      </c>
    </row>
    <row r="4" ht="28" customHeight="1">
      <c r="A4" s="8" t="inlineStr">
        <is>
          <t>year</t>
        </is>
      </c>
      <c r="B4" s="8" t="inlineStr">
        <is>
          <t>bank branches</t>
        </is>
      </c>
      <c r="D4" s="25" t="inlineStr">
        <is>
          <t>Count of retail branches. Uneven year spacing, numeric X axis.</t>
        </is>
      </c>
    </row>
    <row r="5">
      <c r="A5" s="26" t="n">
        <v>2004</v>
      </c>
      <c r="B5" s="33">
        <f>IF(COUNTIFS('02_MASTER'!$B:$B,"DK.FIN.BRCH",'02_MASTER'!$E:$E,2004)=0,"",SUMIFS('02_MASTER'!$F:$F,'02_MASTER'!$B:$B,"DK.FIN.BRCH",'02_MASTER'!$E:$E,2004))</f>
        <v/>
      </c>
    </row>
    <row r="6">
      <c r="A6" s="26" t="n">
        <v>2006</v>
      </c>
      <c r="B6" s="33">
        <f>IF(COUNTIFS('02_MASTER'!$B:$B,"DK.FIN.BRCH",'02_MASTER'!$E:$E,2006)=0,"",SUMIFS('02_MASTER'!$F:$F,'02_MASTER'!$B:$B,"DK.FIN.BRCH",'02_MASTER'!$E:$E,2006))</f>
        <v/>
      </c>
    </row>
    <row r="7">
      <c r="A7" s="26" t="n">
        <v>2010</v>
      </c>
      <c r="B7" s="33">
        <f>IF(COUNTIFS('02_MASTER'!$B:$B,"DK.FIN.BRCH",'02_MASTER'!$E:$E,2010)=0,"",SUMIFS('02_MASTER'!$F:$F,'02_MASTER'!$B:$B,"DK.FIN.BRCH",'02_MASTER'!$E:$E,2010))</f>
        <v/>
      </c>
    </row>
    <row r="8">
      <c r="A8" s="26" t="n">
        <v>2016</v>
      </c>
      <c r="B8" s="33">
        <f>IF(COUNTIFS('02_MASTER'!$B:$B,"DK.FIN.BRCH",'02_MASTER'!$E:$E,2016)=0,"",SUMIFS('02_MASTER'!$F:$F,'02_MASTER'!$B:$B,"DK.FIN.BRCH",'02_MASTER'!$E:$E,2016))</f>
        <v/>
      </c>
    </row>
    <row r="9">
      <c r="A9" s="26" t="n">
        <v>2021</v>
      </c>
      <c r="B9" s="33">
        <f>IF(COUNTIFS('02_MASTER'!$B:$B,"DK.FIN.BRCH",'02_MASTER'!$E:$E,2021)=0,"",SUMIFS('02_MASTER'!$F:$F,'02_MASTER'!$B:$B,"DK.FIN.BRCH",'02_MASTER'!$E:$E,2021))</f>
        <v/>
      </c>
    </row>
    <row r="10">
      <c r="A10" s="26" t="n">
        <v>2024</v>
      </c>
      <c r="B10" s="33">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5" t="inlineStr">
        <is>
          <t>Denominator throughout: share of the NUMBER of in-store payments.</t>
        </is>
      </c>
    </row>
    <row r="4">
      <c r="A4" s="3" t="inlineStr">
        <is>
          <t>Panel A - Cash share of in-store payments</t>
        </is>
      </c>
      <c r="D4" s="32" t="inlineStr">
        <is>
          <t>Cash share of in-store payments, 2017-2025</t>
        </is>
      </c>
    </row>
    <row r="5" ht="28" customHeight="1">
      <c r="A5" s="8" t="inlineStr">
        <is>
          <t>year</t>
        </is>
      </c>
      <c r="B5" s="8" t="inlineStr">
        <is>
          <t>cash (%)</t>
        </is>
      </c>
      <c r="D5" s="25" t="inlineStr">
        <is>
          <t>% of the number of payments made in physical retail.</t>
        </is>
      </c>
    </row>
    <row r="6">
      <c r="A6" s="26" t="n">
        <v>2017</v>
      </c>
      <c r="B6" s="35">
        <f>IF(COUNTIFS('02_MASTER'!$B:$B,"DK.PAY.CASH.POS",'02_MASTER'!$E:$E,2017)=0,"",SUMIFS('02_MASTER'!$F:$F,'02_MASTER'!$B:$B,"DK.PAY.CASH.POS",'02_MASTER'!$E:$E,2017))</f>
        <v/>
      </c>
    </row>
    <row r="7">
      <c r="A7" s="26" t="n">
        <v>2023</v>
      </c>
      <c r="B7" s="35">
        <f>IF(COUNTIFS('02_MASTER'!$B:$B,"DK.PAY.CASH.POS",'02_MASTER'!$E:$E,2023)=0,"",SUMIFS('02_MASTER'!$F:$F,'02_MASTER'!$B:$B,"DK.PAY.CASH.POS",'02_MASTER'!$E:$E,2023))</f>
        <v/>
      </c>
    </row>
    <row r="8">
      <c r="A8" s="26" t="n">
        <v>2025</v>
      </c>
      <c r="B8" s="35">
        <f>IF(COUNTIFS('02_MASTER'!$B:$B,"DK.PAY.CASH.POS",'02_MASTER'!$E:$E,2025)=0,"",SUMIFS('02_MASTER'!$F:$F,'02_MASTER'!$B:$B,"DK.PAY.CASH.POS",'02_MASTER'!$E:$E,2025))</f>
        <v/>
      </c>
    </row>
    <row r="10">
      <c r="A10" s="3" t="inlineStr">
        <is>
          <t>Panel B - Composition of in-store payments, 2025</t>
        </is>
      </c>
      <c r="D10" s="32" t="inlineStr">
        <is>
          <t>Composition of in-store payments, 2025</t>
        </is>
      </c>
    </row>
    <row r="11" ht="28" customHeight="1">
      <c r="A11" s="8" t="inlineStr">
        <is>
          <t>instrument</t>
        </is>
      </c>
      <c r="B11" s="8" t="inlineStr">
        <is>
          <t>share of payments (%)</t>
        </is>
      </c>
      <c r="D11" s="25" t="inlineStr">
        <is>
          <t>Sums to 95%; the residual is other digital instruments.</t>
        </is>
      </c>
    </row>
    <row r="12">
      <c r="A12" s="26" t="inlineStr">
        <is>
          <t>Physical payment card</t>
        </is>
      </c>
      <c r="B12" s="35">
        <f>IF(COUNTIFS('02_MASTER'!$B:$B,"DK.PAY.CRD.PHYS",'02_MASTER'!$E:$E,2025)=0,"",SUMIFS('02_MASTER'!$F:$F,'02_MASTER'!$B:$B,"DK.PAY.CRD.PHYS",'02_MASTER'!$E:$E,2025))</f>
        <v/>
      </c>
    </row>
    <row r="13">
      <c r="A13" s="26" t="inlineStr">
        <is>
          <t>Mobile wallet (card-based)</t>
        </is>
      </c>
      <c r="B13" s="35">
        <f>IF(COUNTIFS('02_MASTER'!$B:$B,"DK.PAY.WLT.SHR",'02_MASTER'!$E:$E,2025)=0,"",SUMIFS('02_MASTER'!$F:$F,'02_MASTER'!$B:$B,"DK.PAY.WLT.SHR",'02_MASTER'!$E:$E,2025))</f>
        <v/>
      </c>
    </row>
    <row r="14">
      <c r="A14" s="26"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6" t="n">
        <v>2019</v>
      </c>
      <c r="B18" s="36">
        <f>IF(COUNTIFS('02_MASTER'!$B:$B,"DK.PAY.WLT.OWN",'02_MASTER'!$E:$E,2019)=0,"",SUMIFS('02_MASTER'!$F:$F,'02_MASTER'!$B:$B,"DK.PAY.WLT.OWN",'02_MASTER'!$E:$E,2019))</f>
        <v/>
      </c>
    </row>
    <row r="19">
      <c r="A19" s="26" t="n">
        <v>2023</v>
      </c>
      <c r="B19" s="36">
        <f>IF(COUNTIFS('02_MASTER'!$B:$B,"DK.PAY.WLT.OWN",'02_MASTER'!$E:$E,2023)=0,"",SUMIFS('02_MASTER'!$F:$F,'02_MASTER'!$B:$B,"DK.PAY.WLT.OWN",'02_MASTER'!$E:$E,2023))</f>
        <v/>
      </c>
    </row>
    <row r="20">
      <c r="A20" s="26"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ss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5" t="inlineStr">
        <is>
          <t>Tests the 'enterprise plateau' claim: intensity nearly doubled.</t>
        </is>
      </c>
    </row>
    <row r="3">
      <c r="E3" s="32" t="inlineStr">
        <is>
          <t>E-sales as % of enterprise turnover, DK vs EU-27</t>
        </is>
      </c>
    </row>
    <row r="4" ht="28" customHeight="1">
      <c r="A4" s="8" t="inlineStr">
        <is>
          <t>year</t>
        </is>
      </c>
      <c r="B4" s="8" t="inlineStr">
        <is>
          <t>Denmark</t>
        </is>
      </c>
      <c r="C4" s="8" t="inlineStr">
        <is>
          <t>EU-27</t>
        </is>
      </c>
      <c r="E4" s="25" t="inlineStr">
        <is>
          <t>Denmark in blue; the EU average in grey.</t>
        </is>
      </c>
    </row>
    <row r="5">
      <c r="A5" s="26" t="n">
        <v>2014</v>
      </c>
      <c r="B5" s="37">
        <f>IF(COUNTIFS('02_MASTER'!$B:$B,"DK.ECM.ENT.TRN",'02_MASTER'!$E:$E,2014)=0,"",SUMIFS('02_MASTER'!$F:$F,'02_MASTER'!$B:$B,"DK.ECM.ENT.TRN",'02_MASTER'!$E:$E,2014))</f>
        <v/>
      </c>
      <c r="C5" s="37">
        <f>IF(COUNTIFS('02_MASTER'!$B:$B,"EU.ECM.ENT.TRN",'02_MASTER'!$E:$E,2014)=0,"",SUMIFS('02_MASTER'!$F:$F,'02_MASTER'!$B:$B,"EU.ECM.ENT.TRN",'02_MASTER'!$E:$E,2014))</f>
        <v/>
      </c>
    </row>
    <row r="6">
      <c r="A6" s="26"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6" t="inlineStr">
        <is>
          <t>Enterprises making e-sales (%)</t>
        </is>
      </c>
      <c r="B11" s="38">
        <f>IF(COUNTIFS('02_MASTER'!$B:$B,"DK.ECM.ENT.SHR",'02_MASTER'!$E:$E,2024)=0,"",SUMIFS('02_MASTER'!$F:$F,'02_MASTER'!$B:$B,"DK.ECM.ENT.SHR",'02_MASTER'!$E:$E,2024))</f>
        <v/>
      </c>
      <c r="C11" s="28" t="inlineStr">
        <is>
          <t>Lithuania 43.03 (highest)</t>
        </is>
      </c>
    </row>
    <row r="12">
      <c r="A12" s="26" t="inlineStr">
        <is>
          <t>E-sales share of turnover (%)</t>
        </is>
      </c>
      <c r="B12" s="38">
        <f>IF(COUNTIFS('02_MASTER'!$B:$B,"DK.ECM.ENT.TRN",'02_MASTER'!$E:$E,2024)=0,"",SUMIFS('02_MASTER'!$F:$F,'02_MASTER'!$B:$B,"DK.ECM.ENT.TRN",'02_MASTER'!$E:$E,2024))</f>
        <v/>
      </c>
      <c r="C12" s="28" t="inlineStr">
        <is>
          <t>Ireland 38.25 (highest)</t>
        </is>
      </c>
    </row>
    <row r="13">
      <c r="A13" s="26" t="inlineStr">
        <is>
          <t>EU average, e-sales share of turnover (%)</t>
        </is>
      </c>
      <c r="B13" s="38">
        <f>IF(COUNTIFS('02_MASTER'!$B:$B,"EU.ECM.ENT.TRN",'02_MASTER'!$E:$E,2024)=0,"",SUMIFS('02_MASTER'!$F:$F,'02_MASTER'!$B:$B,"EU.ECM.ENT.TRN",'02_MASTER'!$E:$E,2024))</f>
        <v/>
      </c>
      <c r="C13" s="28"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5" t="inlineStr">
        <is>
          <t>Same phenomenon, five definitions. The spread is the finding.</t>
        </is>
      </c>
    </row>
    <row r="3">
      <c r="F3" s="32" t="inlineStr">
        <is>
          <t>Measures of digital exclusion, Denmark</t>
        </is>
      </c>
    </row>
    <row r="4" ht="28" customHeight="1">
      <c r="A4" s="8" t="inlineStr">
        <is>
          <t>measure</t>
        </is>
      </c>
      <c r="B4" s="8" t="inlineStr">
        <is>
          <t>%</t>
        </is>
      </c>
      <c r="C4" s="8" t="inlineStr">
        <is>
          <t>definition basis</t>
        </is>
      </c>
      <c r="D4" s="8" t="inlineStr">
        <is>
          <t>source</t>
        </is>
      </c>
      <c r="F4" s="25" t="inlineStr">
        <is>
          <t>Five definitions of the same phenomenon; they are nested, not contradictory.</t>
        </is>
      </c>
    </row>
    <row r="5">
      <c r="A5" s="26" t="inlineStr">
        <is>
          <t>Formally exempt from Digital Post (Q1 2026)</t>
        </is>
      </c>
      <c r="B5" s="35">
        <f>IF(COUNTIFS('02_MASTER'!$B:$B,"DK.DGP.EXMP",'02_MASTER'!$E:$E,2026)=0,"",SUMIFS('02_MASTER'!$F:$F,'02_MASTER'!$B:$B,"DK.DGP.EXMP",'02_MASTER'!$E:$E,2026))</f>
        <v/>
      </c>
      <c r="C5" s="28" t="inlineStr">
        <is>
          <t>administrative status</t>
        </is>
      </c>
      <c r="D5" s="39" t="inlineStr">
        <is>
          <t>DG1</t>
        </is>
      </c>
    </row>
    <row r="6">
      <c r="A6" s="26" t="inlineStr">
        <is>
          <t>Do not use digital public services at all</t>
        </is>
      </c>
      <c r="B6" s="35">
        <f>IF(COUNTIFS('02_MASTER'!$B:$B,"DK.DGX.NOUSE",'02_MASTER'!$E:$E,2026)=0,"",SUMIFS('02_MASTER'!$F:$F,'02_MASTER'!$B:$B,"DK.DGX.NOUSE",'02_MASTER'!$E:$E,2026))</f>
        <v/>
      </c>
      <c r="C6" s="28" t="inlineStr">
        <is>
          <t>self-reported non-use</t>
        </is>
      </c>
      <c r="D6" s="39" t="inlineStr">
        <is>
          <t>EC1</t>
        </is>
      </c>
    </row>
    <row r="7">
      <c r="A7" s="26" t="inlineStr">
        <is>
          <t>Face difficulties using digital public services</t>
        </is>
      </c>
      <c r="B7" s="35">
        <f>IF(COUNTIFS('02_MASTER'!$B:$B,"DK.DGX.DIFF",'02_MASTER'!$E:$E,2026)=0,"",SUMIFS('02_MASTER'!$F:$F,'02_MASTER'!$B:$B,"DK.DGX.DIFF",'02_MASTER'!$E:$E,2026))</f>
        <v/>
      </c>
      <c r="C7" s="28" t="inlineStr">
        <is>
          <t>capability estimate</t>
        </is>
      </c>
      <c r="D7" s="39" t="inlineStr">
        <is>
          <t>EC1</t>
        </is>
      </c>
    </row>
    <row r="8">
      <c r="A8" s="26" t="inlineStr">
        <is>
          <t>'Digitally disadvantaged' - lower bound</t>
        </is>
      </c>
      <c r="B8" s="35">
        <f>IF(COUNTIFS('02_MASTER'!$B:$B,"DK.DGX.DISADV.LO",'02_MASTER'!$E:$E,2025)=0,"",SUMIFS('02_MASTER'!$F:$F,'02_MASTER'!$B:$B,"DK.DGX.DISADV.LO",'02_MASTER'!$E:$E,2025))</f>
        <v/>
      </c>
      <c r="C8" s="28" t="inlineStr">
        <is>
          <t>capability estimate (range)</t>
        </is>
      </c>
      <c r="D8" s="39" t="inlineStr">
        <is>
          <t>DG2</t>
        </is>
      </c>
    </row>
    <row r="9">
      <c r="A9" s="26" t="inlineStr">
        <is>
          <t>'Digitally disadvantaged' - upper bound</t>
        </is>
      </c>
      <c r="B9" s="35">
        <f>IF(COUNTIFS('02_MASTER'!$B:$B,"DK.DGX.DISADV.HI",'02_MASTER'!$E:$E,2025)=0,"",SUMIFS('02_MASTER'!$F:$F,'02_MASTER'!$B:$B,"DK.DGX.DISADV.HI",'02_MASTER'!$E:$E,2025))</f>
        <v/>
      </c>
      <c r="C9" s="28" t="inlineStr">
        <is>
          <t>capability estimate (range)</t>
        </is>
      </c>
      <c r="D9" s="39" t="inlineStr">
        <is>
          <t>DG2</t>
        </is>
      </c>
    </row>
    <row r="10">
      <c r="A10" s="26" t="inlineStr">
        <is>
          <t>'Digitally disadvantaged' - Justitia</t>
        </is>
      </c>
      <c r="B10" s="35">
        <f>IF(COUNTIFS('02_MASTER'!$B:$B,"DK.DGX.JUST",'02_MASTER'!$E:$E,2022)=0,"",SUMIFS('02_MASTER'!$F:$F,'02_MASTER'!$B:$B,"DK.DGX.JUST",'02_MASTER'!$E:$E,2022))</f>
        <v/>
      </c>
      <c r="C10" s="28" t="inlineStr">
        <is>
          <t>broadest definition</t>
        </is>
      </c>
      <c r="D10" s="39" t="inlineStr">
        <is>
          <t>JU1</t>
        </is>
      </c>
    </row>
    <row r="12">
      <c r="A12" s="3" t="inlineStr">
        <is>
          <t>AGE GRADIENT IN FORMAL EXEMPTION (2022)</t>
        </is>
      </c>
    </row>
    <row r="13" ht="28" customHeight="1">
      <c r="A13" s="8" t="inlineStr">
        <is>
          <t>age group</t>
        </is>
      </c>
      <c r="B13" s="8" t="inlineStr">
        <is>
          <t>exempt (%)</t>
        </is>
      </c>
    </row>
    <row r="14">
      <c r="A14" s="26" t="inlineStr">
        <is>
          <t>Age 75-84</t>
        </is>
      </c>
      <c r="B14" s="36">
        <f>IF(COUNTIFS('02_MASTER'!$B:$B,"DK.DGP.EXMP.7584",'02_MASTER'!$E:$E,2022)=0,"",SUMIFS('02_MASTER'!$F:$F,'02_MASTER'!$B:$B,"DK.DGP.EXMP.7584",'02_MASTER'!$E:$E,2022))</f>
        <v/>
      </c>
    </row>
    <row r="15">
      <c r="A15" s="26"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6" t="inlineStr">
        <is>
          <t>Citizens formally exempt, Q1 2026</t>
        </is>
      </c>
      <c r="B19" s="33">
        <f>IF(COUNTIFS('02_MASTER'!$B:$B,"DK.DGP.EXMP.N",'02_MASTER'!$E:$E,2026)=0,"",SUMIFS('02_MASTER'!$F:$F,'02_MASTER'!$B:$B,"DK.DGP.EXMP.N",'02_MASTER'!$E:$E,2026))</f>
        <v/>
      </c>
      <c r="C19" s="29" t="inlineStr">
        <is>
          <t>Reported directly by the Agency for Digital Government (DG1).</t>
        </is>
      </c>
    </row>
    <row r="20" ht="40" customHeight="1">
      <c r="A20" s="26" t="inlineStr">
        <is>
          <t>Citizens formally exempt, April 2025</t>
        </is>
      </c>
      <c r="B20" s="33">
        <f>IF(COUNTIFS('02_MASTER'!$B:$B,"DK.DGP.EXMP.N",'02_MASTER'!$E:$E,2025)=0,"",SUMIFS('02_MASTER'!$F:$F,'02_MASTER'!$B:$B,"DK.DGP.EXMP.N",'02_MASTER'!$E:$E,2025))</f>
        <v/>
      </c>
      <c r="C20" s="29" t="inlineStr">
        <is>
          <t>Reported as approximately 256,000 (DG1).</t>
        </is>
      </c>
    </row>
    <row r="21" ht="40" customHeight="1">
      <c r="A21" s="26" t="inlineStr">
        <is>
          <t>Implied population aged 15+</t>
        </is>
      </c>
      <c r="B21" s="33">
        <f>IF(COUNTIFS('02_MASTER'!$B:$B,"DK.DGP.EXMP.N",'02_MASTER'!$E:$E,2026)=0,"",SUMIFS('02_MASTER'!$F:$F,'02_MASTER'!$B:$B,"DK.DGP.EXMP.N",'02_MASTER'!$E:$E,2026))/(IF(COUNTIFS('02_MASTER'!$B:$B,"DK.DGP.EXMP",'02_MASTER'!$E:$E,2026)=0,"",SUMIFS('02_MASTER'!$F:$F,'02_MASTER'!$B:$B,"DK.DGP.EXMP",'02_MASTER'!$E:$E,2026))/100)</f>
        <v/>
      </c>
      <c r="C21" s="29"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6" t="inlineStr">
        <is>
          <t>Implied persons who do not use digital public services at all</t>
        </is>
      </c>
      <c r="B22" s="33">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29" t="inlineStr">
        <is>
          <t>ORDER OF MAGNITUDE ONLY. Applies a share measured on 'the population' to a 15+ base; the denominators are not identical.</t>
        </is>
      </c>
    </row>
    <row r="23" ht="40" customHeight="1">
      <c r="A23" s="26" t="inlineStr">
        <is>
          <t>Implied persons facing difficulty with digital public services</t>
        </is>
      </c>
      <c r="B23" s="33">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29"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5" t="inlineStr">
        <is>
          <t>All 27 member states and the EU-27 aggregate, ranked. Denominator: % of internet users.</t>
        </is>
      </c>
    </row>
    <row r="3">
      <c r="E3" s="32" t="inlineStr">
        <is>
          <t>Individuals who bought online, 2024</t>
        </is>
      </c>
    </row>
    <row r="4" ht="28" customHeight="1">
      <c r="A4" s="8" t="inlineStr">
        <is>
          <t>country</t>
        </is>
      </c>
      <c r="B4" s="8" t="inlineStr">
        <is>
          <t>%</t>
        </is>
      </c>
      <c r="C4" s="8" t="inlineStr">
        <is>
          <t>series_code</t>
        </is>
      </c>
      <c r="E4" s="25" t="inlineStr">
        <is>
          <t>Denmark in blue, EU-27 aggregate in navy, member states in grey. Ranked descending.</t>
        </is>
      </c>
    </row>
    <row r="5">
      <c r="A5" s="26" t="inlineStr">
        <is>
          <t>Ireland</t>
        </is>
      </c>
      <c r="B5" s="38">
        <f>IF(COUNTIFS('02_MASTER'!$B:$B,"IE.ECM.IND.BUY",'02_MASTER'!$E:$E,2024)=0,"",SUMIFS('02_MASTER'!$F:$F,'02_MASTER'!$B:$B,"IE.ECM.IND.BUY",'02_MASTER'!$E:$E,2024))</f>
        <v/>
      </c>
      <c r="C5" s="39" t="inlineStr">
        <is>
          <t>IE.ECM.IND.BUY</t>
        </is>
      </c>
    </row>
    <row r="6">
      <c r="A6" s="26" t="inlineStr">
        <is>
          <t>Netherlands</t>
        </is>
      </c>
      <c r="B6" s="38">
        <f>IF(COUNTIFS('02_MASTER'!$B:$B,"NL.ECM.IND.BUY",'02_MASTER'!$E:$E,2024)=0,"",SUMIFS('02_MASTER'!$F:$F,'02_MASTER'!$B:$B,"NL.ECM.IND.BUY",'02_MASTER'!$E:$E,2024))</f>
        <v/>
      </c>
      <c r="C6" s="39" t="inlineStr">
        <is>
          <t>NL.ECM.IND.BUY</t>
        </is>
      </c>
    </row>
    <row r="7">
      <c r="A7" s="26" t="inlineStr">
        <is>
          <t>Denmark</t>
        </is>
      </c>
      <c r="B7" s="38">
        <f>IF(COUNTIFS('02_MASTER'!$B:$B,"DK.ECM.IND.BUY",'02_MASTER'!$E:$E,2024)=0,"",SUMIFS('02_MASTER'!$F:$F,'02_MASTER'!$B:$B,"DK.ECM.IND.BUY",'02_MASTER'!$E:$E,2024))</f>
        <v/>
      </c>
      <c r="C7" s="39" t="inlineStr">
        <is>
          <t>DK.ECM.IND.BUY</t>
        </is>
      </c>
    </row>
    <row r="8">
      <c r="A8" s="26" t="inlineStr">
        <is>
          <t>Sweden</t>
        </is>
      </c>
      <c r="B8" s="38">
        <f>IF(COUNTIFS('02_MASTER'!$B:$B,"SE.ECM.IND.BUY",'02_MASTER'!$E:$E,2024)=0,"",SUMIFS('02_MASTER'!$F:$F,'02_MASTER'!$B:$B,"SE.ECM.IND.BUY",'02_MASTER'!$E:$E,2024))</f>
        <v/>
      </c>
      <c r="C8" s="39" t="inlineStr">
        <is>
          <t>SE.ECM.IND.BUY</t>
        </is>
      </c>
    </row>
    <row r="9">
      <c r="A9" s="26" t="inlineStr">
        <is>
          <t>Czechia</t>
        </is>
      </c>
      <c r="B9" s="38">
        <f>IF(COUNTIFS('02_MASTER'!$B:$B,"CZ.ECM.IND.BUY",'02_MASTER'!$E:$E,2024)=0,"",SUMIFS('02_MASTER'!$F:$F,'02_MASTER'!$B:$B,"CZ.ECM.IND.BUY",'02_MASTER'!$E:$E,2024))</f>
        <v/>
      </c>
      <c r="C9" s="39" t="inlineStr">
        <is>
          <t>CZ.ECM.IND.BUY</t>
        </is>
      </c>
    </row>
    <row r="10">
      <c r="A10" s="26" t="inlineStr">
        <is>
          <t>Slovakia</t>
        </is>
      </c>
      <c r="B10" s="38">
        <f>IF(COUNTIFS('02_MASTER'!$B:$B,"SK.ECM.IND.BUY",'02_MASTER'!$E:$E,2024)=0,"",SUMIFS('02_MASTER'!$F:$F,'02_MASTER'!$B:$B,"SK.ECM.IND.BUY",'02_MASTER'!$E:$E,2024))</f>
        <v/>
      </c>
      <c r="C10" s="39" t="inlineStr">
        <is>
          <t>SK.ECM.IND.BUY</t>
        </is>
      </c>
    </row>
    <row r="11">
      <c r="A11" s="26" t="inlineStr">
        <is>
          <t>France</t>
        </is>
      </c>
      <c r="B11" s="38">
        <f>IF(COUNTIFS('02_MASTER'!$B:$B,"FR.ECM.IND.BUY",'02_MASTER'!$E:$E,2024)=0,"",SUMIFS('02_MASTER'!$F:$F,'02_MASTER'!$B:$B,"FR.ECM.IND.BUY",'02_MASTER'!$E:$E,2024))</f>
        <v/>
      </c>
      <c r="C11" s="39" t="inlineStr">
        <is>
          <t>FR.ECM.IND.BUY</t>
        </is>
      </c>
    </row>
    <row r="12">
      <c r="A12" s="26" t="inlineStr">
        <is>
          <t>Germany</t>
        </is>
      </c>
      <c r="B12" s="38">
        <f>IF(COUNTIFS('02_MASTER'!$B:$B,"DE.ECM.IND.BUY",'02_MASTER'!$E:$E,2024)=0,"",SUMIFS('02_MASTER'!$F:$F,'02_MASTER'!$B:$B,"DE.ECM.IND.BUY",'02_MASTER'!$E:$E,2024))</f>
        <v/>
      </c>
      <c r="C12" s="39" t="inlineStr">
        <is>
          <t>DE.ECM.IND.BUY</t>
        </is>
      </c>
    </row>
    <row r="13">
      <c r="A13" s="26" t="inlineStr">
        <is>
          <t>Luxembourg</t>
        </is>
      </c>
      <c r="B13" s="38">
        <f>IF(COUNTIFS('02_MASTER'!$B:$B,"LU.ECM.IND.BUY",'02_MASTER'!$E:$E,2024)=0,"",SUMIFS('02_MASTER'!$F:$F,'02_MASTER'!$B:$B,"LU.ECM.IND.BUY",'02_MASTER'!$E:$E,2024))</f>
        <v/>
      </c>
      <c r="C13" s="39" t="inlineStr">
        <is>
          <t>LU.ECM.IND.BUY</t>
        </is>
      </c>
    </row>
    <row r="14">
      <c r="A14" s="26" t="inlineStr">
        <is>
          <t>Finland</t>
        </is>
      </c>
      <c r="B14" s="38">
        <f>IF(COUNTIFS('02_MASTER'!$B:$B,"FI.ECM.IND.BUY",'02_MASTER'!$E:$E,2024)=0,"",SUMIFS('02_MASTER'!$F:$F,'02_MASTER'!$B:$B,"FI.ECM.IND.BUY",'02_MASTER'!$E:$E,2024))</f>
        <v/>
      </c>
      <c r="C14" s="39" t="inlineStr">
        <is>
          <t>FI.ECM.IND.BUY</t>
        </is>
      </c>
    </row>
    <row r="15">
      <c r="A15" s="26" t="inlineStr">
        <is>
          <t>Belgium</t>
        </is>
      </c>
      <c r="B15" s="38">
        <f>IF(COUNTIFS('02_MASTER'!$B:$B,"BE.ECM.IND.BUY",'02_MASTER'!$E:$E,2024)=0,"",SUMIFS('02_MASTER'!$F:$F,'02_MASTER'!$B:$B,"BE.ECM.IND.BUY",'02_MASTER'!$E:$E,2024))</f>
        <v/>
      </c>
      <c r="C15" s="39" t="inlineStr">
        <is>
          <t>BE.ECM.IND.BUY</t>
        </is>
      </c>
    </row>
    <row r="16">
      <c r="A16" s="26" t="inlineStr">
        <is>
          <t>Hungary</t>
        </is>
      </c>
      <c r="B16" s="38">
        <f>IF(COUNTIFS('02_MASTER'!$B:$B,"HU.ECM.IND.BUY",'02_MASTER'!$E:$E,2024)=0,"",SUMIFS('02_MASTER'!$F:$F,'02_MASTER'!$B:$B,"HU.ECM.IND.BUY",'02_MASTER'!$E:$E,2024))</f>
        <v/>
      </c>
      <c r="C16" s="39" t="inlineStr">
        <is>
          <t>HU.ECM.IND.BUY</t>
        </is>
      </c>
    </row>
    <row r="17">
      <c r="A17" s="26" t="inlineStr">
        <is>
          <t>Estonia</t>
        </is>
      </c>
      <c r="B17" s="38">
        <f>IF(COUNTIFS('02_MASTER'!$B:$B,"EE.ECM.IND.BUY",'02_MASTER'!$E:$E,2024)=0,"",SUMIFS('02_MASTER'!$F:$F,'02_MASTER'!$B:$B,"EE.ECM.IND.BUY",'02_MASTER'!$E:$E,2024))</f>
        <v/>
      </c>
      <c r="C17" s="39" t="inlineStr">
        <is>
          <t>EE.ECM.IND.BUY</t>
        </is>
      </c>
    </row>
    <row r="18">
      <c r="A18" s="26" t="inlineStr">
        <is>
          <t>EU-27 average</t>
        </is>
      </c>
      <c r="B18" s="38">
        <f>IF(COUNTIFS('02_MASTER'!$B:$B,"EU.ECM.IND.BUY",'02_MASTER'!$E:$E,2024)=0,"",SUMIFS('02_MASTER'!$F:$F,'02_MASTER'!$B:$B,"EU.ECM.IND.BUY",'02_MASTER'!$E:$E,2024))</f>
        <v/>
      </c>
      <c r="C18" s="39" t="inlineStr">
        <is>
          <t>EU.ECM.IND.BUY</t>
        </is>
      </c>
    </row>
    <row r="19">
      <c r="A19" s="26" t="inlineStr">
        <is>
          <t>Poland</t>
        </is>
      </c>
      <c r="B19" s="38">
        <f>IF(COUNTIFS('02_MASTER'!$B:$B,"PL.ECM.IND.BUY",'02_MASTER'!$E:$E,2024)=0,"",SUMIFS('02_MASTER'!$F:$F,'02_MASTER'!$B:$B,"PL.ECM.IND.BUY",'02_MASTER'!$E:$E,2024))</f>
        <v/>
      </c>
      <c r="C19" s="39" t="inlineStr">
        <is>
          <t>PL.ECM.IND.BUY</t>
        </is>
      </c>
    </row>
    <row r="20">
      <c r="A20" s="26" t="inlineStr">
        <is>
          <t>Greece</t>
        </is>
      </c>
      <c r="B20" s="38">
        <f>IF(COUNTIFS('02_MASTER'!$B:$B,"EL.ECM.IND.BUY",'02_MASTER'!$E:$E,2024)=0,"",SUMIFS('02_MASTER'!$F:$F,'02_MASTER'!$B:$B,"EL.ECM.IND.BUY",'02_MASTER'!$E:$E,2024))</f>
        <v/>
      </c>
      <c r="C20" s="39" t="inlineStr">
        <is>
          <t>EL.ECM.IND.BUY</t>
        </is>
      </c>
    </row>
    <row r="21">
      <c r="A21" s="26" t="inlineStr">
        <is>
          <t>Austria</t>
        </is>
      </c>
      <c r="B21" s="38">
        <f>IF(COUNTIFS('02_MASTER'!$B:$B,"AT.ECM.IND.BUY",'02_MASTER'!$E:$E,2024)=0,"",SUMIFS('02_MASTER'!$F:$F,'02_MASTER'!$B:$B,"AT.ECM.IND.BUY",'02_MASTER'!$E:$E,2024))</f>
        <v/>
      </c>
      <c r="C21" s="39" t="inlineStr">
        <is>
          <t>AT.ECM.IND.BUY</t>
        </is>
      </c>
    </row>
    <row r="22">
      <c r="A22" s="26" t="inlineStr">
        <is>
          <t>Malta</t>
        </is>
      </c>
      <c r="B22" s="38">
        <f>IF(COUNTIFS('02_MASTER'!$B:$B,"MT.ECM.IND.BUY",'02_MASTER'!$E:$E,2024)=0,"",SUMIFS('02_MASTER'!$F:$F,'02_MASTER'!$B:$B,"MT.ECM.IND.BUY",'02_MASTER'!$E:$E,2024))</f>
        <v/>
      </c>
      <c r="C22" s="39" t="inlineStr">
        <is>
          <t>MT.ECM.IND.BUY</t>
        </is>
      </c>
    </row>
    <row r="23">
      <c r="A23" s="26" t="inlineStr">
        <is>
          <t>Slovenia</t>
        </is>
      </c>
      <c r="B23" s="38">
        <f>IF(COUNTIFS('02_MASTER'!$B:$B,"SI.ECM.IND.BUY",'02_MASTER'!$E:$E,2024)=0,"",SUMIFS('02_MASTER'!$F:$F,'02_MASTER'!$B:$B,"SI.ECM.IND.BUY",'02_MASTER'!$E:$E,2024))</f>
        <v/>
      </c>
      <c r="C23" s="39" t="inlineStr">
        <is>
          <t>SI.ECM.IND.BUY</t>
        </is>
      </c>
    </row>
    <row r="24">
      <c r="A24" s="26" t="inlineStr">
        <is>
          <t>Lithuania</t>
        </is>
      </c>
      <c r="B24" s="38">
        <f>IF(COUNTIFS('02_MASTER'!$B:$B,"LT.ECM.IND.BUY",'02_MASTER'!$E:$E,2024)=0,"",SUMIFS('02_MASTER'!$F:$F,'02_MASTER'!$B:$B,"LT.ECM.IND.BUY",'02_MASTER'!$E:$E,2024))</f>
        <v/>
      </c>
      <c r="C24" s="39" t="inlineStr">
        <is>
          <t>LT.ECM.IND.BUY</t>
        </is>
      </c>
    </row>
    <row r="25">
      <c r="A25" s="26" t="inlineStr">
        <is>
          <t>Spain</t>
        </is>
      </c>
      <c r="B25" s="38">
        <f>IF(COUNTIFS('02_MASTER'!$B:$B,"ES.ECM.IND.BUY",'02_MASTER'!$E:$E,2024)=0,"",SUMIFS('02_MASTER'!$F:$F,'02_MASTER'!$B:$B,"ES.ECM.IND.BUY",'02_MASTER'!$E:$E,2024))</f>
        <v/>
      </c>
      <c r="C25" s="39" t="inlineStr">
        <is>
          <t>ES.ECM.IND.BUY</t>
        </is>
      </c>
    </row>
    <row r="26">
      <c r="A26" s="26" t="inlineStr">
        <is>
          <t>Croatia</t>
        </is>
      </c>
      <c r="B26" s="38">
        <f>IF(COUNTIFS('02_MASTER'!$B:$B,"HR.ECM.IND.BUY",'02_MASTER'!$E:$E,2024)=0,"",SUMIFS('02_MASTER'!$F:$F,'02_MASTER'!$B:$B,"HR.ECM.IND.BUY",'02_MASTER'!$E:$E,2024))</f>
        <v/>
      </c>
      <c r="C26" s="39" t="inlineStr">
        <is>
          <t>HR.ECM.IND.BUY</t>
        </is>
      </c>
    </row>
    <row r="27">
      <c r="A27" s="26" t="inlineStr">
        <is>
          <t>Latvia</t>
        </is>
      </c>
      <c r="B27" s="38">
        <f>IF(COUNTIFS('02_MASTER'!$B:$B,"LV.ECM.IND.BUY",'02_MASTER'!$E:$E,2024)=0,"",SUMIFS('02_MASTER'!$F:$F,'02_MASTER'!$B:$B,"LV.ECM.IND.BUY",'02_MASTER'!$E:$E,2024))</f>
        <v/>
      </c>
      <c r="C27" s="39" t="inlineStr">
        <is>
          <t>LV.ECM.IND.BUY</t>
        </is>
      </c>
    </row>
    <row r="28">
      <c r="A28" s="26" t="inlineStr">
        <is>
          <t>Cyprus</t>
        </is>
      </c>
      <c r="B28" s="38">
        <f>IF(COUNTIFS('02_MASTER'!$B:$B,"CY.ECM.IND.BUY",'02_MASTER'!$E:$E,2024)=0,"",SUMIFS('02_MASTER'!$F:$F,'02_MASTER'!$B:$B,"CY.ECM.IND.BUY",'02_MASTER'!$E:$E,2024))</f>
        <v/>
      </c>
      <c r="C28" s="39" t="inlineStr">
        <is>
          <t>CY.ECM.IND.BUY</t>
        </is>
      </c>
    </row>
    <row r="29">
      <c r="A29" s="26" t="inlineStr">
        <is>
          <t>Portugal</t>
        </is>
      </c>
      <c r="B29" s="38">
        <f>IF(COUNTIFS('02_MASTER'!$B:$B,"PT.ECM.IND.BUY",'02_MASTER'!$E:$E,2024)=0,"",SUMIFS('02_MASTER'!$F:$F,'02_MASTER'!$B:$B,"PT.ECM.IND.BUY",'02_MASTER'!$E:$E,2024))</f>
        <v/>
      </c>
      <c r="C29" s="39" t="inlineStr">
        <is>
          <t>PT.ECM.IND.BUY</t>
        </is>
      </c>
    </row>
    <row r="30">
      <c r="A30" s="26" t="inlineStr">
        <is>
          <t>Romania</t>
        </is>
      </c>
      <c r="B30" s="38">
        <f>IF(COUNTIFS('02_MASTER'!$B:$B,"RO.ECM.IND.BUY",'02_MASTER'!$E:$E,2024)=0,"",SUMIFS('02_MASTER'!$F:$F,'02_MASTER'!$B:$B,"RO.ECM.IND.BUY",'02_MASTER'!$E:$E,2024))</f>
        <v/>
      </c>
      <c r="C30" s="39" t="inlineStr">
        <is>
          <t>RO.ECM.IND.BUY</t>
        </is>
      </c>
    </row>
    <row r="31">
      <c r="A31" s="26" t="inlineStr">
        <is>
          <t>Italy</t>
        </is>
      </c>
      <c r="B31" s="38">
        <f>IF(COUNTIFS('02_MASTER'!$B:$B,"IT.ECM.IND.BUY",'02_MASTER'!$E:$E,2024)=0,"",SUMIFS('02_MASTER'!$F:$F,'02_MASTER'!$B:$B,"IT.ECM.IND.BUY",'02_MASTER'!$E:$E,2024))</f>
        <v/>
      </c>
      <c r="C31" s="39" t="inlineStr">
        <is>
          <t>IT.ECM.IND.BUY</t>
        </is>
      </c>
    </row>
    <row r="32">
      <c r="A32" s="26" t="inlineStr">
        <is>
          <t>Bulgaria</t>
        </is>
      </c>
      <c r="B32" s="38">
        <f>IF(COUNTIFS('02_MASTER'!$B:$B,"BG.ECM.IND.BUY",'02_MASTER'!$E:$E,2024)=0,"",SUMIFS('02_MASTER'!$F:$F,'02_MASTER'!$B:$B,"BG.ECM.IND.BUY",'02_MASTER'!$E:$E,2024))</f>
        <v/>
      </c>
      <c r="C32" s="39"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56"/>
  <sheetViews>
    <sheetView showGridLines="0" workbookViewId="0">
      <selection activeCell="A1" sqref="A1"/>
    </sheetView>
  </sheetViews>
  <sheetFormatPr baseColWidth="8" defaultRowHeight="15"/>
  <cols>
    <col width="20" customWidth="1" min="1" max="1"/>
    <col width="8" customWidth="1" min="2" max="2"/>
    <col width="74" customWidth="1" min="3" max="3"/>
    <col width="30" customWidth="1" min="4" max="4"/>
  </cols>
  <sheetData>
    <row r="1" ht="22" customHeight="1">
      <c r="A1" s="7" t="inlineStr">
        <is>
          <t>Figure 6 - Does more digital adoption mean more economic activity?</t>
        </is>
      </c>
    </row>
    <row r="2">
      <c r="A2" s="25" t="inlineStr">
        <is>
          <t>EU cross-section, 2024. X = consumer adoption. Y = share of enterprise turnover from e-sales.</t>
        </is>
      </c>
    </row>
    <row r="3">
      <c r="F3" s="32"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5" t="inlineStr">
        <is>
          <t>One point per member state with both measures. Fitted by ordinary least squares; see the statistics below.</t>
        </is>
      </c>
    </row>
    <row r="5">
      <c r="A5" s="26" t="inlineStr">
        <is>
          <t>Austria</t>
        </is>
      </c>
      <c r="B5" s="39" t="inlineStr">
        <is>
          <t>AT</t>
        </is>
      </c>
      <c r="C5" s="38">
        <f>IF(COUNTIFS('02_MASTER'!$B:$B,"AT.ECM.IND.BUY",'02_MASTER'!$E:$E,2024)=0,"",SUMIFS('02_MASTER'!$F:$F,'02_MASTER'!$B:$B,"AT.ECM.IND.BUY",'02_MASTER'!$E:$E,2024))</f>
        <v/>
      </c>
      <c r="D5" s="38">
        <f>IF(COUNTIFS('02_MASTER'!$B:$B,"AT.ECM.ENT.TRN",'02_MASTER'!$E:$E,2024)=0,"",SUMIFS('02_MASTER'!$F:$F,'02_MASTER'!$B:$B,"AT.ECM.ENT.TRN",'02_MASTER'!$E:$E,2024))</f>
        <v/>
      </c>
    </row>
    <row r="6">
      <c r="A6" s="26" t="inlineStr">
        <is>
          <t>Belgium</t>
        </is>
      </c>
      <c r="B6" s="39" t="inlineStr">
        <is>
          <t>BE</t>
        </is>
      </c>
      <c r="C6" s="38">
        <f>IF(COUNTIFS('02_MASTER'!$B:$B,"BE.ECM.IND.BUY",'02_MASTER'!$E:$E,2024)=0,"",SUMIFS('02_MASTER'!$F:$F,'02_MASTER'!$B:$B,"BE.ECM.IND.BUY",'02_MASTER'!$E:$E,2024))</f>
        <v/>
      </c>
      <c r="D6" s="38">
        <f>IF(COUNTIFS('02_MASTER'!$B:$B,"BE.ECM.ENT.TRN",'02_MASTER'!$E:$E,2024)=0,"",SUMIFS('02_MASTER'!$F:$F,'02_MASTER'!$B:$B,"BE.ECM.ENT.TRN",'02_MASTER'!$E:$E,2024))</f>
        <v/>
      </c>
    </row>
    <row r="7">
      <c r="A7" s="26" t="inlineStr">
        <is>
          <t>Bulgaria</t>
        </is>
      </c>
      <c r="B7" s="39" t="inlineStr">
        <is>
          <t>BG</t>
        </is>
      </c>
      <c r="C7" s="38">
        <f>IF(COUNTIFS('02_MASTER'!$B:$B,"BG.ECM.IND.BUY",'02_MASTER'!$E:$E,2024)=0,"",SUMIFS('02_MASTER'!$F:$F,'02_MASTER'!$B:$B,"BG.ECM.IND.BUY",'02_MASTER'!$E:$E,2024))</f>
        <v/>
      </c>
      <c r="D7" s="38">
        <f>IF(COUNTIFS('02_MASTER'!$B:$B,"BG.ECM.ENT.TRN",'02_MASTER'!$E:$E,2024)=0,"",SUMIFS('02_MASTER'!$F:$F,'02_MASTER'!$B:$B,"BG.ECM.ENT.TRN",'02_MASTER'!$E:$E,2024))</f>
        <v/>
      </c>
    </row>
    <row r="8">
      <c r="A8" s="26" t="inlineStr">
        <is>
          <t>Cyprus</t>
        </is>
      </c>
      <c r="B8" s="39" t="inlineStr">
        <is>
          <t>CY</t>
        </is>
      </c>
      <c r="C8" s="38">
        <f>IF(COUNTIFS('02_MASTER'!$B:$B,"CY.ECM.IND.BUY",'02_MASTER'!$E:$E,2024)=0,"",SUMIFS('02_MASTER'!$F:$F,'02_MASTER'!$B:$B,"CY.ECM.IND.BUY",'02_MASTER'!$E:$E,2024))</f>
        <v/>
      </c>
      <c r="D8" s="38">
        <f>IF(COUNTIFS('02_MASTER'!$B:$B,"CY.ECM.ENT.TRN",'02_MASTER'!$E:$E,2024)=0,"",SUMIFS('02_MASTER'!$F:$F,'02_MASTER'!$B:$B,"CY.ECM.ENT.TRN",'02_MASTER'!$E:$E,2024))</f>
        <v/>
      </c>
    </row>
    <row r="9">
      <c r="A9" s="26" t="inlineStr">
        <is>
          <t>Czechia</t>
        </is>
      </c>
      <c r="B9" s="39" t="inlineStr">
        <is>
          <t>CZ</t>
        </is>
      </c>
      <c r="C9" s="38">
        <f>IF(COUNTIFS('02_MASTER'!$B:$B,"CZ.ECM.IND.BUY",'02_MASTER'!$E:$E,2024)=0,"",SUMIFS('02_MASTER'!$F:$F,'02_MASTER'!$B:$B,"CZ.ECM.IND.BUY",'02_MASTER'!$E:$E,2024))</f>
        <v/>
      </c>
      <c r="D9" s="38">
        <f>IF(COUNTIFS('02_MASTER'!$B:$B,"CZ.ECM.ENT.TRN",'02_MASTER'!$E:$E,2024)=0,"",SUMIFS('02_MASTER'!$F:$F,'02_MASTER'!$B:$B,"CZ.ECM.ENT.TRN",'02_MASTER'!$E:$E,2024))</f>
        <v/>
      </c>
    </row>
    <row r="10">
      <c r="A10" s="26" t="inlineStr">
        <is>
          <t>Germany</t>
        </is>
      </c>
      <c r="B10" s="39" t="inlineStr">
        <is>
          <t>DE</t>
        </is>
      </c>
      <c r="C10" s="38">
        <f>IF(COUNTIFS('02_MASTER'!$B:$B,"DE.ECM.IND.BUY",'02_MASTER'!$E:$E,2024)=0,"",SUMIFS('02_MASTER'!$F:$F,'02_MASTER'!$B:$B,"DE.ECM.IND.BUY",'02_MASTER'!$E:$E,2024))</f>
        <v/>
      </c>
      <c r="D10" s="38">
        <f>IF(COUNTIFS('02_MASTER'!$B:$B,"DE.ECM.ENT.TRN",'02_MASTER'!$E:$E,2024)=0,"",SUMIFS('02_MASTER'!$F:$F,'02_MASTER'!$B:$B,"DE.ECM.ENT.TRN",'02_MASTER'!$E:$E,2024))</f>
        <v/>
      </c>
    </row>
    <row r="11">
      <c r="A11" s="26" t="inlineStr">
        <is>
          <t>Denmark</t>
        </is>
      </c>
      <c r="B11" s="39" t="inlineStr">
        <is>
          <t>DK</t>
        </is>
      </c>
      <c r="C11" s="38">
        <f>IF(COUNTIFS('02_MASTER'!$B:$B,"DK.ECM.IND.BUY",'02_MASTER'!$E:$E,2024)=0,"",SUMIFS('02_MASTER'!$F:$F,'02_MASTER'!$B:$B,"DK.ECM.IND.BUY",'02_MASTER'!$E:$E,2024))</f>
        <v/>
      </c>
      <c r="D11" s="38">
        <f>IF(COUNTIFS('02_MASTER'!$B:$B,"DK.ECM.ENT.TRN",'02_MASTER'!$E:$E,2024)=0,"",SUMIFS('02_MASTER'!$F:$F,'02_MASTER'!$B:$B,"DK.ECM.ENT.TRN",'02_MASTER'!$E:$E,2024))</f>
        <v/>
      </c>
    </row>
    <row r="12">
      <c r="A12" s="26" t="inlineStr">
        <is>
          <t>Spain</t>
        </is>
      </c>
      <c r="B12" s="39" t="inlineStr">
        <is>
          <t>ES</t>
        </is>
      </c>
      <c r="C12" s="38">
        <f>IF(COUNTIFS('02_MASTER'!$B:$B,"ES.ECM.IND.BUY",'02_MASTER'!$E:$E,2024)=0,"",SUMIFS('02_MASTER'!$F:$F,'02_MASTER'!$B:$B,"ES.ECM.IND.BUY",'02_MASTER'!$E:$E,2024))</f>
        <v/>
      </c>
      <c r="D12" s="38">
        <f>IF(COUNTIFS('02_MASTER'!$B:$B,"ES.ECM.ENT.TRN",'02_MASTER'!$E:$E,2024)=0,"",SUMIFS('02_MASTER'!$F:$F,'02_MASTER'!$B:$B,"ES.ECM.ENT.TRN",'02_MASTER'!$E:$E,2024))</f>
        <v/>
      </c>
    </row>
    <row r="13">
      <c r="A13" s="26" t="inlineStr">
        <is>
          <t>France</t>
        </is>
      </c>
      <c r="B13" s="39" t="inlineStr">
        <is>
          <t>FR</t>
        </is>
      </c>
      <c r="C13" s="38">
        <f>IF(COUNTIFS('02_MASTER'!$B:$B,"FR.ECM.IND.BUY",'02_MASTER'!$E:$E,2024)=0,"",SUMIFS('02_MASTER'!$F:$F,'02_MASTER'!$B:$B,"FR.ECM.IND.BUY",'02_MASTER'!$E:$E,2024))</f>
        <v/>
      </c>
      <c r="D13" s="38">
        <f>IF(COUNTIFS('02_MASTER'!$B:$B,"FR.ECM.ENT.TRN",'02_MASTER'!$E:$E,2024)=0,"",SUMIFS('02_MASTER'!$F:$F,'02_MASTER'!$B:$B,"FR.ECM.ENT.TRN",'02_MASTER'!$E:$E,2024))</f>
        <v/>
      </c>
    </row>
    <row r="14">
      <c r="A14" s="26" t="inlineStr">
        <is>
          <t>Croatia</t>
        </is>
      </c>
      <c r="B14" s="39" t="inlineStr">
        <is>
          <t>HR</t>
        </is>
      </c>
      <c r="C14" s="38">
        <f>IF(COUNTIFS('02_MASTER'!$B:$B,"HR.ECM.IND.BUY",'02_MASTER'!$E:$E,2024)=0,"",SUMIFS('02_MASTER'!$F:$F,'02_MASTER'!$B:$B,"HR.ECM.IND.BUY",'02_MASTER'!$E:$E,2024))</f>
        <v/>
      </c>
      <c r="D14" s="38">
        <f>IF(COUNTIFS('02_MASTER'!$B:$B,"HR.ECM.ENT.TRN",'02_MASTER'!$E:$E,2024)=0,"",SUMIFS('02_MASTER'!$F:$F,'02_MASTER'!$B:$B,"HR.ECM.ENT.TRN",'02_MASTER'!$E:$E,2024))</f>
        <v/>
      </c>
    </row>
    <row r="15">
      <c r="A15" s="26" t="inlineStr">
        <is>
          <t>Hungary</t>
        </is>
      </c>
      <c r="B15" s="39" t="inlineStr">
        <is>
          <t>HU</t>
        </is>
      </c>
      <c r="C15" s="38">
        <f>IF(COUNTIFS('02_MASTER'!$B:$B,"HU.ECM.IND.BUY",'02_MASTER'!$E:$E,2024)=0,"",SUMIFS('02_MASTER'!$F:$F,'02_MASTER'!$B:$B,"HU.ECM.IND.BUY",'02_MASTER'!$E:$E,2024))</f>
        <v/>
      </c>
      <c r="D15" s="38">
        <f>IF(COUNTIFS('02_MASTER'!$B:$B,"HU.ECM.ENT.TRN",'02_MASTER'!$E:$E,2024)=0,"",SUMIFS('02_MASTER'!$F:$F,'02_MASTER'!$B:$B,"HU.ECM.ENT.TRN",'02_MASTER'!$E:$E,2024))</f>
        <v/>
      </c>
    </row>
    <row r="16">
      <c r="A16" s="26" t="inlineStr">
        <is>
          <t>Ireland</t>
        </is>
      </c>
      <c r="B16" s="39" t="inlineStr">
        <is>
          <t>IE</t>
        </is>
      </c>
      <c r="C16" s="38">
        <f>IF(COUNTIFS('02_MASTER'!$B:$B,"IE.ECM.IND.BUY",'02_MASTER'!$E:$E,2024)=0,"",SUMIFS('02_MASTER'!$F:$F,'02_MASTER'!$B:$B,"IE.ECM.IND.BUY",'02_MASTER'!$E:$E,2024))</f>
        <v/>
      </c>
      <c r="D16" s="38">
        <f>IF(COUNTIFS('02_MASTER'!$B:$B,"IE.ECM.ENT.TRN",'02_MASTER'!$E:$E,2024)=0,"",SUMIFS('02_MASTER'!$F:$F,'02_MASTER'!$B:$B,"IE.ECM.ENT.TRN",'02_MASTER'!$E:$E,2024))</f>
        <v/>
      </c>
    </row>
    <row r="17">
      <c r="A17" s="26" t="inlineStr">
        <is>
          <t>Italy</t>
        </is>
      </c>
      <c r="B17" s="39" t="inlineStr">
        <is>
          <t>IT</t>
        </is>
      </c>
      <c r="C17" s="38">
        <f>IF(COUNTIFS('02_MASTER'!$B:$B,"IT.ECM.IND.BUY",'02_MASTER'!$E:$E,2024)=0,"",SUMIFS('02_MASTER'!$F:$F,'02_MASTER'!$B:$B,"IT.ECM.IND.BUY",'02_MASTER'!$E:$E,2024))</f>
        <v/>
      </c>
      <c r="D17" s="38">
        <f>IF(COUNTIFS('02_MASTER'!$B:$B,"IT.ECM.ENT.TRN",'02_MASTER'!$E:$E,2024)=0,"",SUMIFS('02_MASTER'!$F:$F,'02_MASTER'!$B:$B,"IT.ECM.ENT.TRN",'02_MASTER'!$E:$E,2024))</f>
        <v/>
      </c>
    </row>
    <row r="18">
      <c r="A18" s="26" t="inlineStr">
        <is>
          <t>Luxembourg</t>
        </is>
      </c>
      <c r="B18" s="39" t="inlineStr">
        <is>
          <t>LU</t>
        </is>
      </c>
      <c r="C18" s="38">
        <f>IF(COUNTIFS('02_MASTER'!$B:$B,"LU.ECM.IND.BUY",'02_MASTER'!$E:$E,2024)=0,"",SUMIFS('02_MASTER'!$F:$F,'02_MASTER'!$B:$B,"LU.ECM.IND.BUY",'02_MASTER'!$E:$E,2024))</f>
        <v/>
      </c>
      <c r="D18" s="38">
        <f>IF(COUNTIFS('02_MASTER'!$B:$B,"LU.ECM.ENT.TRN",'02_MASTER'!$E:$E,2024)=0,"",SUMIFS('02_MASTER'!$F:$F,'02_MASTER'!$B:$B,"LU.ECM.ENT.TRN",'02_MASTER'!$E:$E,2024))</f>
        <v/>
      </c>
    </row>
    <row r="19">
      <c r="A19" s="26" t="inlineStr">
        <is>
          <t>Malta</t>
        </is>
      </c>
      <c r="B19" s="39" t="inlineStr">
        <is>
          <t>MT</t>
        </is>
      </c>
      <c r="C19" s="38">
        <f>IF(COUNTIFS('02_MASTER'!$B:$B,"MT.ECM.IND.BUY",'02_MASTER'!$E:$E,2024)=0,"",SUMIFS('02_MASTER'!$F:$F,'02_MASTER'!$B:$B,"MT.ECM.IND.BUY",'02_MASTER'!$E:$E,2024))</f>
        <v/>
      </c>
      <c r="D19" s="38">
        <f>IF(COUNTIFS('02_MASTER'!$B:$B,"MT.ECM.ENT.TRN",'02_MASTER'!$E:$E,2024)=0,"",SUMIFS('02_MASTER'!$F:$F,'02_MASTER'!$B:$B,"MT.ECM.ENT.TRN",'02_MASTER'!$E:$E,2024))</f>
        <v/>
      </c>
    </row>
    <row r="20">
      <c r="A20" s="26" t="inlineStr">
        <is>
          <t>Poland</t>
        </is>
      </c>
      <c r="B20" s="39" t="inlineStr">
        <is>
          <t>PL</t>
        </is>
      </c>
      <c r="C20" s="38">
        <f>IF(COUNTIFS('02_MASTER'!$B:$B,"PL.ECM.IND.BUY",'02_MASTER'!$E:$E,2024)=0,"",SUMIFS('02_MASTER'!$F:$F,'02_MASTER'!$B:$B,"PL.ECM.IND.BUY",'02_MASTER'!$E:$E,2024))</f>
        <v/>
      </c>
      <c r="D20" s="38">
        <f>IF(COUNTIFS('02_MASTER'!$B:$B,"PL.ECM.ENT.TRN",'02_MASTER'!$E:$E,2024)=0,"",SUMIFS('02_MASTER'!$F:$F,'02_MASTER'!$B:$B,"PL.ECM.ENT.TRN",'02_MASTER'!$E:$E,2024))</f>
        <v/>
      </c>
    </row>
    <row r="21">
      <c r="A21" s="26" t="inlineStr">
        <is>
          <t>Sweden</t>
        </is>
      </c>
      <c r="B21" s="39" t="inlineStr">
        <is>
          <t>SE</t>
        </is>
      </c>
      <c r="C21" s="38">
        <f>IF(COUNTIFS('02_MASTER'!$B:$B,"SE.ECM.IND.BUY",'02_MASTER'!$E:$E,2024)=0,"",SUMIFS('02_MASTER'!$F:$F,'02_MASTER'!$B:$B,"SE.ECM.IND.BUY",'02_MASTER'!$E:$E,2024))</f>
        <v/>
      </c>
      <c r="D21" s="38">
        <f>IF(COUNTIFS('02_MASTER'!$B:$B,"SE.ECM.ENT.TRN",'02_MASTER'!$E:$E,2024)=0,"",SUMIFS('02_MASTER'!$F:$F,'02_MASTER'!$B:$B,"SE.ECM.ENT.TRN",'02_MASTER'!$E:$E,2024))</f>
        <v/>
      </c>
    </row>
    <row r="22">
      <c r="A22" s="26" t="inlineStr">
        <is>
          <t>Slovenia</t>
        </is>
      </c>
      <c r="B22" s="39" t="inlineStr">
        <is>
          <t>SI</t>
        </is>
      </c>
      <c r="C22" s="38">
        <f>IF(COUNTIFS('02_MASTER'!$B:$B,"SI.ECM.IND.BUY",'02_MASTER'!$E:$E,2024)=0,"",SUMIFS('02_MASTER'!$F:$F,'02_MASTER'!$B:$B,"SI.ECM.IND.BUY",'02_MASTER'!$E:$E,2024))</f>
        <v/>
      </c>
      <c r="D22" s="38">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6" t="inlineStr">
        <is>
          <t>n (countries)</t>
        </is>
      </c>
      <c r="B26" s="33">
        <f>COUNT($C$5:$C$22)</f>
        <v/>
      </c>
      <c r="C26" s="29" t="inlineStr">
        <is>
          <t>Number of complete X-Y pairs. Expands automatically as data is added.</t>
        </is>
      </c>
    </row>
    <row r="27" ht="26" customHeight="1">
      <c r="A27" s="26" t="inlineStr">
        <is>
          <t>Slope</t>
        </is>
      </c>
      <c r="B27" s="40">
        <f>SLOPE($D$5:$D$22,$C$5:$C$22)</f>
        <v/>
      </c>
      <c r="C27" s="29" t="inlineStr">
        <is>
          <t>Percentage points of enterprise turnover per percentage point of consumer adoption.</t>
        </is>
      </c>
    </row>
    <row r="28" ht="26" customHeight="1">
      <c r="A28" s="26" t="inlineStr">
        <is>
          <t>Intercept</t>
        </is>
      </c>
      <c r="B28" s="38">
        <f>INTERCEPT($D$5:$D$22,$C$5:$C$22)</f>
        <v/>
      </c>
      <c r="C28" s="29" t="inlineStr">
        <is>
          <t>Not interpretable - no country has zero adoption, so this is far outside the observed range.</t>
        </is>
      </c>
    </row>
    <row r="29" ht="26" customHeight="1">
      <c r="A29" s="26" t="inlineStr">
        <is>
          <t>Correlation (r)</t>
        </is>
      </c>
      <c r="B29" s="40">
        <f>CORREL($C$5:$C$22,$D$5:$D$22)</f>
        <v/>
      </c>
      <c r="C29" s="29" t="inlineStr">
        <is>
          <t>Strength and direction of the linear association.</t>
        </is>
      </c>
    </row>
    <row r="30" ht="26" customHeight="1">
      <c r="A30" s="26" t="inlineStr">
        <is>
          <t>R-squared</t>
        </is>
      </c>
      <c r="B30" s="40">
        <f>RSQ($D$5:$D$22,$C$5:$C$22)</f>
        <v/>
      </c>
      <c r="C30" s="29" t="inlineStr">
        <is>
          <t>Share of cross-country variation in Y that moves with X. Estimated on the complete set of paired member states, so it is quotable - see the SAMPLE block below for what the earlier tail-selected sample claimed.</t>
        </is>
      </c>
    </row>
    <row r="31" ht="26" customHeight="1">
      <c r="A31" s="26" t="inlineStr">
        <is>
          <t>Slope standard error</t>
        </is>
      </c>
      <c r="B31" s="40">
        <f>STEYX($D$5:$D$22,$C$5:$C$22)/SQRT(DEVSQ($C$5:$C$22))</f>
        <v/>
      </c>
      <c r="C31" s="29" t="inlineStr">
        <is>
          <t>Precision of the slope estimate.</t>
        </is>
      </c>
    </row>
    <row r="32" ht="26" customHeight="1">
      <c r="A32" s="26" t="inlineStr">
        <is>
          <t>Slope t-statistic</t>
        </is>
      </c>
      <c r="B32" s="38">
        <f>SLOPE($D$5:$D$22,$C$5:$C$22)/(STEYX($D$5:$D$22,$C$5:$C$22)/SQRT(DEVSQ($C$5:$C$22)))</f>
        <v/>
      </c>
      <c r="C32" s="29" t="inlineStr">
        <is>
          <t>Slope divided by its standard error, on n-2 degrees of freedom. Above about 2.1 the slope is distinguishable from zero at the 5% level on this sample size.</t>
        </is>
      </c>
    </row>
    <row r="33" ht="26" customHeight="1">
      <c r="A33" s="26" t="inlineStr">
        <is>
          <t>Denmark: actual Y</t>
        </is>
      </c>
      <c r="B33" s="38">
        <f>IF(COUNTIFS('02_MASTER'!$B:$B,"DK.ECM.ENT.TRN",'02_MASTER'!$E:$E,2024)=0,"",SUMIFS('02_MASTER'!$F:$F,'02_MASTER'!$B:$B,"DK.ECM.ENT.TRN",'02_MASTER'!$E:$E,2024))</f>
        <v/>
      </c>
      <c r="C33" s="29" t="inlineStr">
        <is>
          <t>Denmark's observed value.</t>
        </is>
      </c>
    </row>
    <row r="34" ht="26" customHeight="1">
      <c r="A34" s="26" t="inlineStr">
        <is>
          <t>Denmark: fitted Y</t>
        </is>
      </c>
      <c r="B34" s="38">
        <f>INTERCEPT($D$5:$D$22,$C$5:$C$22)+SLOPE($D$5:$D$22,$C$5:$C$22)*IF(COUNTIFS('02_MASTER'!$B:$B,"DK.ECM.IND.BUY",'02_MASTER'!$E:$E,2024)=0,"",SUMIFS('02_MASTER'!$F:$F,'02_MASTER'!$B:$B,"DK.ECM.IND.BUY",'02_MASTER'!$E:$E,2024))</f>
        <v/>
      </c>
      <c r="C34" s="29" t="inlineStr">
        <is>
          <t>What the line predicts for Denmark's adoption level.</t>
        </is>
      </c>
    </row>
    <row r="35" ht="26" customHeight="1">
      <c r="A35" s="26" t="inlineStr">
        <is>
          <t>Denmark: residual</t>
        </is>
      </c>
      <c r="B35" s="41">
        <f>IF(COUNTIFS('02_MASTER'!$B:$B,"DK.ECM.ENT.TRN",'02_MASTER'!$E:$E,2024)=0,"",SUMIFS('02_MASTER'!$F:$F,'02_MASTER'!$B:$B,"DK.ECM.ENT.TRN",'02_MASTER'!$E:$E,2024))-(INTERCEPT($D$5:$D$22,$C$5:$C$22)+SLOPE($D$5:$D$22,$C$5:$C$22)*IF(COUNTIFS('02_MASTER'!$B:$B,"DK.ECM.IND.BUY",'02_MASTER'!$E:$E,2024)=0,"",SUMIFS('02_MASTER'!$F:$F,'02_MASTER'!$B:$B,"DK.ECM.IND.BUY",'02_MASTER'!$E:$E,2024)))</f>
        <v/>
      </c>
      <c r="C35" s="29" t="inlineStr">
        <is>
          <t>Positive: Denmark converts adoption into commercial activity better than the EU pattern predicts. Negative: worse.</t>
        </is>
      </c>
    </row>
    <row r="37">
      <c r="A37" s="3" t="inlineStr">
        <is>
          <t>SAMPLE - how these points were obtained</t>
        </is>
      </c>
    </row>
    <row r="38" ht="46" customHeight="1">
      <c r="A38" s="42"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38" s="43" t="n"/>
      <c r="C38" s="43" t="n"/>
      <c r="D38" s="43" t="n"/>
    </row>
    <row r="39" ht="46" customHeight="1">
      <c r="A39" s="42"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39" s="43" t="n"/>
      <c r="C39" s="43" t="n"/>
      <c r="D39" s="43" t="n"/>
    </row>
    <row r="40" ht="46" customHeight="1">
      <c r="A40" s="42"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0" s="43" t="n"/>
      <c r="C40" s="43" t="n"/>
      <c r="D40" s="43" t="n"/>
    </row>
    <row r="41" ht="46" customHeight="1">
      <c r="A41" s="42"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1" s="43" t="n"/>
      <c r="C41" s="43" t="n"/>
      <c r="D41" s="43" t="n"/>
    </row>
    <row r="42" ht="46" customHeight="1">
      <c r="A42" s="42"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2" s="43" t="n"/>
      <c r="C42" s="43" t="n"/>
      <c r="D42" s="43" t="n"/>
    </row>
    <row r="44">
      <c r="A44" s="3" t="inlineStr">
        <is>
          <t>AWAITING DATA - not plotted</t>
        </is>
      </c>
    </row>
    <row r="45" ht="28" customHeight="1">
      <c r="A45" s="8" t="inlineStr">
        <is>
          <t>country</t>
        </is>
      </c>
      <c r="B45" s="8" t="inlineStr">
        <is>
          <t>code</t>
        </is>
      </c>
      <c r="C45" s="8" t="inlineStr">
        <is>
          <t>missing</t>
        </is>
      </c>
    </row>
    <row r="46">
      <c r="A46" s="26" t="inlineStr">
        <is>
          <t>Estonia</t>
        </is>
      </c>
      <c r="B46" s="39" t="inlineStr">
        <is>
          <t>EE</t>
        </is>
      </c>
      <c r="C46" s="44" t="inlineStr">
        <is>
          <t>Y - add EE.ECM.ENT.TRN for 2024 (Eurostat tin00110)</t>
        </is>
      </c>
    </row>
    <row r="47">
      <c r="A47" s="26" t="inlineStr">
        <is>
          <t>Greece</t>
        </is>
      </c>
      <c r="B47" s="39" t="inlineStr">
        <is>
          <t>EL</t>
        </is>
      </c>
      <c r="C47" s="44" t="inlineStr">
        <is>
          <t>Y - add EL.ECM.ENT.TRN for 2024 (Eurostat tin00110)</t>
        </is>
      </c>
    </row>
    <row r="48">
      <c r="A48" s="26" t="inlineStr">
        <is>
          <t>Finland</t>
        </is>
      </c>
      <c r="B48" s="39" t="inlineStr">
        <is>
          <t>FI</t>
        </is>
      </c>
      <c r="C48" s="44" t="inlineStr">
        <is>
          <t>Y - add FI.ECM.ENT.TRN for 2024 (Eurostat tin00110)</t>
        </is>
      </c>
    </row>
    <row r="49">
      <c r="A49" s="26" t="inlineStr">
        <is>
          <t>Lithuania</t>
        </is>
      </c>
      <c r="B49" s="39" t="inlineStr">
        <is>
          <t>LT</t>
        </is>
      </c>
      <c r="C49" s="44" t="inlineStr">
        <is>
          <t>Y - add LT.ECM.ENT.TRN for 2024 (Eurostat tin00110)</t>
        </is>
      </c>
    </row>
    <row r="50">
      <c r="A50" s="26" t="inlineStr">
        <is>
          <t>Latvia</t>
        </is>
      </c>
      <c r="B50" s="39" t="inlineStr">
        <is>
          <t>LV</t>
        </is>
      </c>
      <c r="C50" s="44" t="inlineStr">
        <is>
          <t>Y - add LV.ECM.ENT.TRN for 2024 (Eurostat tin00110)</t>
        </is>
      </c>
    </row>
    <row r="51">
      <c r="A51" s="26" t="inlineStr">
        <is>
          <t>Netherlands</t>
        </is>
      </c>
      <c r="B51" s="39" t="inlineStr">
        <is>
          <t>NL</t>
        </is>
      </c>
      <c r="C51" s="44" t="inlineStr">
        <is>
          <t>Y - add NL.ECM.ENT.TRN for 2024 (Eurostat tin00110)</t>
        </is>
      </c>
    </row>
    <row r="52">
      <c r="A52" s="26" t="inlineStr">
        <is>
          <t>Portugal</t>
        </is>
      </c>
      <c r="B52" s="39" t="inlineStr">
        <is>
          <t>PT</t>
        </is>
      </c>
      <c r="C52" s="44" t="inlineStr">
        <is>
          <t>Y - add PT.ECM.ENT.TRN for 2024 (Eurostat tin00110)</t>
        </is>
      </c>
    </row>
    <row r="53">
      <c r="A53" s="26" t="inlineStr">
        <is>
          <t>Romania</t>
        </is>
      </c>
      <c r="B53" s="39" t="inlineStr">
        <is>
          <t>RO</t>
        </is>
      </c>
      <c r="C53" s="44" t="inlineStr">
        <is>
          <t>Y - add RO.ECM.ENT.TRN for 2024 (Eurostat tin00110)</t>
        </is>
      </c>
    </row>
    <row r="54">
      <c r="A54" s="26" t="inlineStr">
        <is>
          <t>Slovakia</t>
        </is>
      </c>
      <c r="B54" s="39" t="inlineStr">
        <is>
          <t>SK</t>
        </is>
      </c>
      <c r="C54" s="44" t="inlineStr">
        <is>
          <t>Y - add SK.ECM.ENT.TRN for 2024 (Eurostat tin00110)</t>
        </is>
      </c>
    </row>
    <row r="56">
      <c r="A56" s="34" t="inlineStr">
        <is>
          <t>Sources: Eurostat isoc_ec_ib20 (ES4)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0:D40"/>
    <mergeCell ref="A38:D38"/>
    <mergeCell ref="A39:D39"/>
    <mergeCell ref="A41:D41"/>
    <mergeCell ref="A42:D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5" t="inlineStr">
        <is>
          <t>Leads on every capability measure. Below average on citizen service quality.</t>
        </is>
      </c>
    </row>
    <row r="3">
      <c r="F3" s="32" t="inlineStr">
        <is>
          <t>Denmark vs EU-27 average</t>
        </is>
      </c>
    </row>
    <row r="4" ht="28" customHeight="1">
      <c r="A4" s="8" t="inlineStr">
        <is>
          <t>indicator</t>
        </is>
      </c>
      <c r="B4" s="8" t="inlineStr">
        <is>
          <t>Denmark</t>
        </is>
      </c>
      <c r="C4" s="8" t="inlineStr">
        <is>
          <t>EU-27</t>
        </is>
      </c>
      <c r="D4" s="8" t="inlineStr">
        <is>
          <t>unit</t>
        </is>
      </c>
      <c r="F4" s="25" t="inlineStr">
        <is>
          <t>Denmark in blue, EU average in grey. Note the direction reverses on the bottom two rows.</t>
        </is>
      </c>
    </row>
    <row r="5">
      <c r="A5" s="26" t="inlineStr">
        <is>
          <t>SMEs with at least basic digital intensity</t>
        </is>
      </c>
      <c r="B5" s="38">
        <f>IF(COUNTIFS('02_MASTER'!$B:$B,"DK.ENT.DII",'02_MASTER'!$E:$E,2025)=0,"",SUMIFS('02_MASTER'!$F:$F,'02_MASTER'!$B:$B,"DK.ENT.DII",'02_MASTER'!$E:$E,2025))</f>
        <v/>
      </c>
      <c r="C5" s="38">
        <f>IF(COUNTIFS('02_MASTER'!$B:$B,"EU.ENT.DII",'02_MASTER'!$E:$E,2025)=0,"",SUMIFS('02_MASTER'!$F:$F,'02_MASTER'!$B:$B,"EU.ENT.DII",'02_MASTER'!$E:$E,2025))</f>
        <v/>
      </c>
      <c r="D5" s="28" t="inlineStr">
        <is>
          <t>% of SMEs</t>
        </is>
      </c>
    </row>
    <row r="6">
      <c r="A6" s="26" t="inlineStr">
        <is>
          <t>Enterprises adopting AI</t>
        </is>
      </c>
      <c r="B6" s="38">
        <f>IF(COUNTIFS('02_MASTER'!$B:$B,"DK.ENT.AI",'02_MASTER'!$E:$E,2025)=0,"",SUMIFS('02_MASTER'!$F:$F,'02_MASTER'!$B:$B,"DK.ENT.AI",'02_MASTER'!$E:$E,2025))</f>
        <v/>
      </c>
      <c r="C6" s="43" t="n"/>
      <c r="D6" s="28" t="inlineStr">
        <is>
          <t>% of enterprises (EU avg 19.95)</t>
        </is>
      </c>
    </row>
    <row r="7">
      <c r="A7" s="26" t="inlineStr">
        <is>
          <t>Digital public services for citizens</t>
        </is>
      </c>
      <c r="B7" s="38">
        <f>IF(COUNTIFS('02_MASTER'!$B:$B,"DK.GOV.DPS.CIT",'02_MASTER'!$E:$E,2025)=0,"",SUMIFS('02_MASTER'!$F:$F,'02_MASTER'!$B:$B,"DK.GOV.DPS.CIT",'02_MASTER'!$E:$E,2025))</f>
        <v/>
      </c>
      <c r="C7" s="38">
        <f>IF(COUNTIFS('02_MASTER'!$B:$B,"EU.GOV.DPS.CIT",'02_MASTER'!$E:$E,2025)=0,"",SUMIFS('02_MASTER'!$F:$F,'02_MASTER'!$B:$B,"EU.GOV.DPS.CIT",'02_MASTER'!$E:$E,2025))</f>
        <v/>
      </c>
      <c r="D7" s="28" t="inlineStr">
        <is>
          <t>eGovernment Benchmark score 0-100</t>
        </is>
      </c>
    </row>
    <row r="8">
      <c r="A8" s="26" t="inlineStr">
        <is>
          <t>Cross-border digital public services</t>
        </is>
      </c>
      <c r="B8" s="38">
        <f>IF(COUNTIFS('02_MASTER'!$B:$B,"DK.GOV.DPS.XB",'02_MASTER'!$E:$E,2025)=0,"",SUMIFS('02_MASTER'!$F:$F,'02_MASTER'!$B:$B,"DK.GOV.DPS.XB",'02_MASTER'!$E:$E,2025))</f>
        <v/>
      </c>
      <c r="C8" s="43" t="n"/>
      <c r="D8" s="28"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6" t="inlineStr">
        <is>
          <t>Digital public services, DK minus EU average</t>
        </is>
      </c>
      <c r="B12" s="38">
        <f>IF(COUNTIFS('02_MASTER'!$B:$B,"DK.GOV.DPS.CIT",'02_MASTER'!$E:$E,2025)=0,"",SUMIFS('02_MASTER'!$F:$F,'02_MASTER'!$B:$B,"DK.GOV.DPS.CIT",'02_MASTER'!$E:$E,2025))-IF(COUNTIFS('02_MASTER'!$B:$B,"EU.GOV.DPS.CIT",'02_MASTER'!$E:$E,2025)=0,"",SUMIFS('02_MASTER'!$F:$F,'02_MASTER'!$B:$B,"EU.GOV.DPS.CIT",'02_MASTER'!$E:$E,2025))</f>
        <v/>
      </c>
      <c r="C12" s="29" t="inlineStr">
        <is>
          <t>Negative. The most digitalised population in the EU receives below-average digital public services.</t>
        </is>
      </c>
    </row>
    <row r="13" ht="44" customHeight="1">
      <c r="A13" s="26" t="inlineStr">
        <is>
          <t>Digital skills gap within Denmark, 16-24 minus 55-74</t>
        </is>
      </c>
      <c r="B13" s="38">
        <f>IF(COUNTIFS('02_MASTER'!$B:$B,"DK.SKL.1624",'02_MASTER'!$E:$E,2025)=0,"",SUMIFS('02_MASTER'!$F:$F,'02_MASTER'!$B:$B,"DK.SKL.1624",'02_MASTER'!$E:$E,2025))-IF(COUNTIFS('02_MASTER'!$B:$B,"DK.SKL.5574",'02_MASTER'!$E:$E,2025)=0,"",SUMIFS('02_MASTER'!$F:$F,'02_MASTER'!$B:$B,"DK.SKL.5574",'02_MASTER'!$E:$E,2025))</f>
        <v/>
      </c>
      <c r="C13" s="29"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6" t="inlineStr">
        <is>
          <t>AI adoption gap within Denmark, large firms minus SMEs</t>
        </is>
      </c>
      <c r="B14" s="38">
        <f>IF(COUNTIFS('02_MASTER'!$B:$B,"DK.ENT.AI.LRG",'02_MASTER'!$E:$E,2025)=0,"",SUMIFS('02_MASTER'!$F:$F,'02_MASTER'!$B:$B,"DK.ENT.AI.LRG",'02_MASTER'!$E:$E,2025))-IF(COUNTIFS('02_MASTER'!$B:$B,"DK.ENT.AI.SME",'02_MASTER'!$E:$E,2025)=0,"",SUMIFS('02_MASTER'!$F:$F,'02_MASTER'!$B:$B,"DK.ENT.AI.SME",'02_MASTER'!$E:$E,2025))</f>
        <v/>
      </c>
      <c r="C14" s="29" t="inlineStr">
        <is>
          <t>Breadth without depth, restated for AI.</t>
        </is>
      </c>
    </row>
    <row r="16">
      <c r="A16"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the one policy with a control group</t>
        </is>
      </c>
    </row>
    <row r="2">
      <c r="A2" s="25" t="inlineStr">
        <is>
          <t>Danmarks Statistik matched-comparison evaluation, June 2025.</t>
        </is>
      </c>
    </row>
    <row r="3">
      <c r="E3" s="32" t="inlineStr">
        <is>
          <t>SMV:Digital participant outcomes</t>
        </is>
      </c>
    </row>
    <row r="4" ht="28" customHeight="1">
      <c r="A4" s="8" t="inlineStr">
        <is>
          <t>measure</t>
        </is>
      </c>
      <c r="B4" s="8" t="inlineStr">
        <is>
          <t>value</t>
        </is>
      </c>
      <c r="C4" s="8" t="inlineStr">
        <is>
          <t>unit</t>
        </is>
      </c>
      <c r="E4" s="25" t="inlineStr">
        <is>
          <t>Participation measures only. No effect size is plotted because none was verified.</t>
        </is>
      </c>
    </row>
    <row r="5">
      <c r="A5" s="26" t="inlineStr">
        <is>
          <t>Digitalisation projects supported since 2018</t>
        </is>
      </c>
      <c r="B5" s="33">
        <f>IF(COUNTIFS('02_MASTER'!$B:$B,"DK.SME.SMVD.PROJ",'02_MASTER'!$E:$E,2025)=0,"",SUMIFS('02_MASTER'!$F:$F,'02_MASTER'!$B:$B,"DK.SME.SMVD.PROJ",'02_MASTER'!$E:$E,2025))</f>
        <v/>
      </c>
      <c r="C5" s="28" t="inlineStr">
        <is>
          <t>count</t>
        </is>
      </c>
    </row>
    <row r="6">
      <c r="A6" s="26" t="inlineStr">
        <is>
          <t>Participants investing further during the project</t>
        </is>
      </c>
      <c r="B6" s="35">
        <f>IF(COUNTIFS('02_MASTER'!$B:$B,"DK.SME.SMVD.INV",'02_MASTER'!$E:$E,2025)=0,"",SUMIFS('02_MASTER'!$F:$F,'02_MASTER'!$B:$B,"DK.SME.SMVD.INV",'02_MASTER'!$E:$E,2025))</f>
        <v/>
      </c>
      <c r="C6" s="28" t="inlineStr">
        <is>
          <t>% of participants</t>
        </is>
      </c>
    </row>
    <row r="7">
      <c r="A7" s="26" t="inlineStr">
        <is>
          <t>Participants with no further investment plans</t>
        </is>
      </c>
      <c r="B7" s="35">
        <f>IF(COUNTIFS('02_MASTER'!$B:$B,"DK.SME.SMVD.NOINV",'02_MASTER'!$E:$E,2025)=0,"",SUMIFS('02_MASTER'!$F:$F,'02_MASTER'!$B:$B,"DK.SME.SMVD.NOINV",'02_MASTER'!$E:$E,2025))</f>
        <v/>
      </c>
      <c r="C7" s="28" t="inlineStr">
        <is>
          <t>% of participants</t>
        </is>
      </c>
    </row>
    <row r="9">
      <c r="A9" s="3" t="inlineStr">
        <is>
          <t>WHY THIS IS THE STRONGEST EVIDENCE IN THE WORKBOOK</t>
        </is>
      </c>
    </row>
    <row r="10" ht="34" customHeight="1">
      <c r="A10" s="34" t="inlineStr">
        <is>
          <t>The evaluation was carried out by Danmarks Statistik, which compared participating firms against comparable firms that did not participate. Participants showed higher revenue AND higher employment.</t>
        </is>
      </c>
    </row>
    <row r="11" ht="34" customHeight="1">
      <c r="A11" s="34" t="inlineStr">
        <is>
          <t>That is a comparison group. Nothing else in this workbook has one. Figure 6's cross-section can show that adoption and commercial activity move together across countries; it cannot rule out that richer countries simply do more of both. A matched comparison can.</t>
        </is>
      </c>
    </row>
    <row r="12" ht="34" customHeight="1">
      <c r="A12" s="34" t="inlineStr">
        <is>
          <t>LIMIT: the effect sizes are not reproduced here because they were not verified against the evaluation itself. The direction of the finding is sourced; the magnitude is not, and must not be invented.</t>
        </is>
      </c>
    </row>
    <row r="13" ht="34" customHeight="1">
      <c r="A13" s="34" t="inlineStr">
        <is>
          <t>LIMIT: participation is voluntary, so selection into the programme by more capable or more ambitious firms is not excluded by matching alone.</t>
        </is>
      </c>
    </row>
    <row r="15">
      <c r="A15" s="3" t="inlineStr">
        <is>
          <t>POLICY EVENTS ON THIS SERIES</t>
        </is>
      </c>
    </row>
    <row r="16" ht="28" customHeight="1">
      <c r="A16" s="8" t="inlineStr">
        <is>
          <t>date</t>
        </is>
      </c>
      <c r="B16" s="8" t="inlineStr">
        <is>
          <t>precision</t>
        </is>
      </c>
      <c r="C16" s="8" t="inlineStr">
        <is>
          <t>instrument</t>
        </is>
      </c>
      <c r="D16" s="8" t="inlineStr">
        <is>
          <t>citation</t>
        </is>
      </c>
      <c r="E16" s="8" t="inlineStr">
        <is>
          <t>source</t>
        </is>
      </c>
    </row>
    <row r="17">
      <c r="A17" s="23" t="inlineStr">
        <is>
          <t>2018-01-01</t>
        </is>
      </c>
      <c r="B17" s="15" t="inlineStr">
        <is>
          <t>year</t>
        </is>
      </c>
      <c r="C17" s="15" t="inlineStr">
        <is>
          <t>SMV:Digital launched</t>
        </is>
      </c>
      <c r="D17" s="15" t="inlineStr">
        <is>
          <t>Danish digital growth plan for SMEs</t>
        </is>
      </c>
      <c r="E17" s="23" t="inlineStr">
        <is>
          <t>DG3</t>
        </is>
      </c>
    </row>
    <row r="18">
      <c r="A18" s="23" t="inlineStr">
        <is>
          <t>2026-01-01</t>
        </is>
      </c>
      <c r="B18" s="15" t="inlineStr">
        <is>
          <t>year</t>
        </is>
      </c>
      <c r="C18" s="15" t="inlineStr">
        <is>
          <t>SMV:Digital grant pools continue</t>
        </is>
      </c>
      <c r="D18" s="15" t="inlineStr">
        <is>
          <t>Tilskudspuljer i 2026</t>
        </is>
      </c>
      <c r="E18" s="23" t="inlineStr">
        <is>
          <t>SMV1</t>
        </is>
      </c>
    </row>
    <row r="20">
      <c r="A20" s="34" t="inlineStr">
        <is>
          <t>Source: Effektmaaling af SMV:Digital, Danmarks Statistik for the Agency for Digital Government, June 2025 (DG3); scheme status from SMV:Digital's 2026 grant-pool page (SMV1).</t>
        </is>
      </c>
    </row>
  </sheetData>
  <mergeCells count="4">
    <mergeCell ref="A10:C10"/>
    <mergeCell ref="A13:C13"/>
    <mergeCell ref="A11:C11"/>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5"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ss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5"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21"/>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5" t="inlineStr">
        <is>
          <t>Read before citing any value.</t>
        </is>
      </c>
    </row>
    <row r="4" ht="62" customHeight="1">
      <c r="A4" s="3" t="inlineStr">
        <is>
          <t>No inferential statistics</t>
        </is>
      </c>
      <c r="B4"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5" ht="62" customHeight="1">
      <c r="A5" s="3" t="inlineStr">
        <is>
          <t>Figure 6 tail selection - RESOLVED, and what it cost</t>
        </is>
      </c>
      <c r="B5"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6" ht="62" customHeight="1">
      <c r="A6" s="3" t="inlineStr">
        <is>
          <t>No price deflator on the turnover series</t>
        </is>
      </c>
      <c r="B6"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7" ht="62" customHeight="1">
      <c r="A7" s="3" t="inlineStr">
        <is>
          <t>Banking series use different base years</t>
        </is>
      </c>
      <c r="B7" s="20" t="inlineStr">
        <is>
          <t>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8" ht="62" customHeight="1">
      <c r="A8" s="3" t="inlineStr">
        <is>
          <t>No sampling error is reported anywhere</t>
        </is>
      </c>
      <c r="B8"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9" ht="62" customHeight="1">
      <c r="A9" s="3" t="inlineStr">
        <is>
          <t>Headcount conversions rest on an implied denominator</t>
        </is>
      </c>
      <c r="B9"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0" ht="62" customHeight="1">
      <c r="A10" s="3" t="inlineStr">
        <is>
          <t>A withdrawn claim about SMV:Digital</t>
        </is>
      </c>
      <c r="B10"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1" ht="62" customHeight="1">
      <c r="A11" s="3" t="inlineStr">
        <is>
          <t>Unbalanced panel</t>
        </is>
      </c>
      <c r="B11" s="20" t="inlineStr">
        <is>
          <t>Observation years differ by series because the underlying sources publish on different cycles - payment habits roughly biennially, Eurostat annually, branch counts irregularly. Gaps are genuine and are not filled.</t>
        </is>
      </c>
    </row>
    <row r="12" ht="62" customHeight="1">
      <c r="A12" s="3" t="inlineStr">
        <is>
          <t>Denominator break</t>
        </is>
      </c>
      <c r="B12" s="20" t="inlineStr">
        <is>
          <t>Danish online-purchasing figures change base between 2019 (% of individuals) and 2020 onward (% of internet users). The 2019 observation carries flag 'b' and is never plotted with later years.</t>
        </is>
      </c>
    </row>
    <row r="13" ht="62" customHeight="1">
      <c r="A13" s="3" t="inlineStr">
        <is>
          <t>Verbal quantities</t>
        </is>
      </c>
      <c r="B13" s="20" t="inlineStr">
        <is>
          <t>Values flagged 'e' were published as words, not figures - 'nearly one in five', 'just under 36,000'. They are recorded as the stated approximation with the original wording in the notes column.</t>
        </is>
      </c>
    </row>
    <row r="14" ht="62" customHeight="1">
      <c r="A14" s="3" t="inlineStr">
        <is>
          <t>Confounded outcome</t>
        </is>
      </c>
      <c r="B14" s="20" t="inlineStr">
        <is>
          <t>Branch closures reflect both digitalisation and sectoral consolidation (219 institutions in 1991, 51 in 2024). The branch series alone cannot separate these, and the report should not claim that it does.</t>
        </is>
      </c>
    </row>
    <row r="15" ht="62" customHeight="1">
      <c r="A15" s="3" t="inlineStr">
        <is>
          <t>Definitional spread in exclusion measures</t>
        </is>
      </c>
      <c r="B15" s="20" t="inlineStr">
        <is>
          <t>The five exclusion measures range from 4.7% to 25% because they define the population differently. They are not competing estimates of one quantity and must not be averaged or presented as a range.</t>
        </is>
      </c>
    </row>
    <row r="16" ht="62" customHeight="1">
      <c r="A16" s="3" t="inlineStr">
        <is>
          <t>Cross-section complete on adoption, incomplete on outcome</t>
        </is>
      </c>
      <c r="B16"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7" ht="62" customHeight="1">
      <c r="A17" s="3" t="inlineStr">
        <is>
          <t>Figure 6 sample size</t>
        </is>
      </c>
      <c r="B17"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8" ht="62" customHeight="1">
      <c r="A18" s="3" t="inlineStr">
        <is>
          <t>Figure 6 measures two sides of the market</t>
        </is>
      </c>
      <c r="B18"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19" ht="62" customHeight="1">
      <c r="A19" s="3" t="inlineStr">
        <is>
          <t>Mirror-sourced column</t>
        </is>
      </c>
      <c r="B19"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0" ht="62" customHeight="1">
      <c r="A20" s="3" t="inlineStr">
        <is>
          <t>Search-based verification</t>
        </is>
      </c>
      <c r="B20"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1" ht="62" customHeight="1">
      <c r="A21" s="3" t="inlineStr">
        <is>
          <t>Discarded material</t>
        </is>
      </c>
      <c r="B21"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5"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110 verified observations.</dc:description>
  <dc:subject>ECON1596/ECON1597 Digital Economy and Policy</dc:subject>
  <dcterms:created xsi:type="dcterms:W3CDTF">2026-09-12T16:17:21Z</dcterms:created>
  <dcterms:modified xsi:type="dcterms:W3CDTF">2026-09-12T16:17:21Z</dcterms:modified>
</cp:coreProperties>
</file>