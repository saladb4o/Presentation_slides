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00_COVER" sheetId="1" r:id="rId1"/>
    <sheet name="02_MASTER" sheetId="2" r:id="rId2"/>
    <sheet name="03_SOURCES" sheetId="3" r:id="rId3"/>
    <sheet name="04_DEFINITIONS" sheetId="4" r:id="rId4"/>
    <sheet name="05_CALC" sheetId="5" r:id="rId5"/>
    <sheet name="06_SERIES" sheetId="6" r:id="rId6"/>
    <sheet name="F2_PAYMENTS" sheetId="7" r:id="rId7"/>
    <sheet name="F4_EXCLUSION" sheetId="8" r:id="rId8"/>
    <sheet name="F5_EU27" sheetId="9" r:id="rId9"/>
    <sheet name="F6_ADOPT_BENEFIT" sheetId="10" r:id="rId10"/>
    <sheet name="09_POLICY" sheetId="11" r:id="rId11"/>
    <sheet name="07_LIMITATIONS" sheetId="12" r:id="rId12"/>
  </sheets>
  <definedNames>
    <definedName name="_xlnm._FilterDatabase" localSheetId="1" hidden="1">'02_MASTER'!$A$1:$L$137</definedName>
    <definedName name="_xlnm._FilterDatabase" localSheetId="2" hidden="1">'03_SOURCES'!$A$4:$G$37</definedName>
    <definedName name="_xlnm._FilterDatabase" localSheetId="5" hidden="1">'06_SERIES'!$A$4:$J$38</definedName>
    <definedName name="_xlnm.Print_Titles" localSheetId="1">'02_MASTER'!$1:$1</definedName>
    <definedName name="_xlnm.Print_Titles" localSheetId="2">'03_SOURCES'!$4:$4</definedName>
    <definedName name="_xlnm.Print_Titles" localSheetId="3">'04_DEFINITIONS'!$4:$4</definedName>
    <definedName name="_xlnm.Print_Titles" localSheetId="4">'05_CALC'!$4:$4</definedName>
    <definedName name="_xlnm.Print_Titles" localSheetId="5">'06_SERIES'!$4:$4</definedName>
    <definedName name="_xlnm.Print_Titles" localSheetId="10">'09_POLICY'!$4:$4</definedName>
  </definedNames>
  <calcPr calcId="124519" fullCalcOnLoad="1"/>
</workbook>
</file>

<file path=xl/sharedStrings.xml><?xml version="1.0" encoding="utf-8"?>
<sst xmlns="http://schemas.openxmlformats.org/spreadsheetml/2006/main" count="2951" uniqueCount="815">
  <si>
    <t>Denmark: digital adoption and policy outcomes</t>
  </si>
  <si>
    <t>Statistical annex to Assessment 2 - Digital Policy and Innovation Report</t>
  </si>
  <si>
    <t>Student ID</t>
  </si>
  <si>
    <t>s4040040</t>
  </si>
  <si>
    <t>Course</t>
  </si>
  <si>
    <t>ECON1596/ECON1597 Digital Economy and Policy</t>
  </si>
  <si>
    <t>Country</t>
  </si>
  <si>
    <t>Denmark (assigned by final digit of student ID: 0)</t>
  </si>
  <si>
    <t>Workbook version</t>
  </si>
  <si>
    <t>2.0</t>
  </si>
  <si>
    <t>Built</t>
  </si>
  <si>
    <t>2026-09-17</t>
  </si>
  <si>
    <t>Observations</t>
  </si>
  <si>
    <t>Sources</t>
  </si>
  <si>
    <t>Coverage</t>
  </si>
  <si>
    <t>1991-2026, unbalanced; see 07_LIMITATIONS</t>
  </si>
  <si>
    <t>How to trace any number in the report</t>
  </si>
  <si>
    <t>1. The figure caption in the report names a workbook sheet.</t>
  </si>
  <si>
    <t>2. That sheet shows the series_code beside each value.</t>
  </si>
  <si>
    <t>3. Filter 02_MASTER by that series_code to reach the observation row.</t>
  </si>
  <si>
    <t>4. The row carries its unit, its denominator and a source_id.</t>
  </si>
  <si>
    <t>5. Look the source_id up in 03_SOURCES for the authority, the dataset code, the URL and the date it was retrieved.</t>
  </si>
  <si>
    <t>Colour legend</t>
  </si>
  <si>
    <t>Retrieved value, exactly as published by the source</t>
  </si>
  <si>
    <t>Derived - calculated by formula from retrieved values</t>
  </si>
  <si>
    <t>Flagged - an estimate, a break in series, or provisional</t>
  </si>
  <si>
    <t>Documented gap - the value was not retrieved</t>
  </si>
  <si>
    <t>Contents</t>
  </si>
  <si>
    <t>00_COVER</t>
  </si>
  <si>
    <t>This sheet - what the workbook is and how to read it</t>
  </si>
  <si>
    <t>02_MASTER</t>
  </si>
  <si>
    <t>Every observation, one row each. Start here.</t>
  </si>
  <si>
    <t>03_SOURCES</t>
  </si>
  <si>
    <t>Source register: authority, dataset code, URL, access date</t>
  </si>
  <si>
    <t>04_DEFINITIONS</t>
  </si>
  <si>
    <t>What each series measures, and its denominator</t>
  </si>
  <si>
    <t>05_CALC</t>
  </si>
  <si>
    <t>Derived quantities, as live formulas over 02_MASTER</t>
  </si>
  <si>
    <t>06_SERIES</t>
  </si>
  <si>
    <t>Series behind every report figure not drawn here</t>
  </si>
  <si>
    <t>F2_PAYMENTS</t>
  </si>
  <si>
    <t>Chart - instrument shares of physical-retail payments</t>
  </si>
  <si>
    <t>F4_EXCLUSION</t>
  </si>
  <si>
    <t>Chart - six measures of digital exclusion</t>
  </si>
  <si>
    <t>F5_EU27</t>
  </si>
  <si>
    <t>Chart - online purchasing across all 27 member states</t>
  </si>
  <si>
    <t>F6_ADOPT_BENEFIT</t>
  </si>
  <si>
    <t>Chart - adoption against economic effect, with OLS</t>
  </si>
  <si>
    <t>09_POLICY</t>
  </si>
  <si>
    <t>Dated policy instruments with legal citations</t>
  </si>
  <si>
    <t>07_LIMITATIONS</t>
  </si>
  <si>
    <t>What the data cannot support, plus the AI use log</t>
  </si>
  <si>
    <t>Provenance rule</t>
  </si>
  <si>
    <t>Every value here was verified against the issuing authority named in its source_id. Nothing is interpolated, smoothed or inferred from a neighbouring year. Gaps are left as gaps.</t>
  </si>
  <si>
    <t>Suggested citation</t>
  </si>
  <si>
    <t>Denmark: digital adoption and policy outcomes [data workbook], v2.0, 2026-09-17. Compiled from the sources listed in 03_SOURCES.</t>
  </si>
  <si>
    <t>obs_id</t>
  </si>
  <si>
    <t>series_code</t>
  </si>
  <si>
    <t>indicator</t>
  </si>
  <si>
    <t>geo</t>
  </si>
  <si>
    <t>year</t>
  </si>
  <si>
    <t>value</t>
  </si>
  <si>
    <t>unit</t>
  </si>
  <si>
    <t>denominator</t>
  </si>
  <si>
    <t>flag</t>
  </si>
  <si>
    <t>source_id</t>
  </si>
  <si>
    <t>report_ref</t>
  </si>
  <si>
    <t>notes</t>
  </si>
  <si>
    <t>DK.DGX.EGOV.USE</t>
  </si>
  <si>
    <t>Individuals interacting with public authorities online</t>
  </si>
  <si>
    <t>DK</t>
  </si>
  <si>
    <t>%</t>
  </si>
  <si>
    <t>individuals aged 16 to 74</t>
  </si>
  <si>
    <t/>
  </si>
  <si>
    <t>ES9</t>
  </si>
  <si>
    <t>Figure 8</t>
  </si>
  <si>
    <t>Website or app of a public authority, last 12 months. Highest in EU-27.</t>
  </si>
  <si>
    <t>EU.DGX.EGOV.USE</t>
  </si>
  <si>
    <t>EU27</t>
  </si>
  <si>
    <t>EU-27 aggregate, same base and reference period as the Danish value.</t>
  </si>
  <si>
    <t>DK.PAY.CASH.POS</t>
  </si>
  <si>
    <t>Cash share of payments, physical retail</t>
  </si>
  <si>
    <t>share of number of payments in physical retail</t>
  </si>
  <si>
    <t>NB1</t>
  </si>
  <si>
    <t>Figure 3</t>
  </si>
  <si>
    <t>DK.PAY.CRD.PHYS</t>
  </si>
  <si>
    <t>Physical payment card share of payments</t>
  </si>
  <si>
    <t>DK.PAY.WLT.SHR</t>
  </si>
  <si>
    <t>Mobile wallet share of payments</t>
  </si>
  <si>
    <t>Card-based wallets on mobile phones (e.g. Apple Pay, Google Pay).</t>
  </si>
  <si>
    <t>DK.PAY.DIG.POS.NUM</t>
  </si>
  <si>
    <t>Digital share of payments, by number</t>
  </si>
  <si>
    <t>DK.PAY.DIG.POS.VAL</t>
  </si>
  <si>
    <t>Digital share of payments, by value</t>
  </si>
  <si>
    <t>share of value of payments in physical retail</t>
  </si>
  <si>
    <t>Different denominator from the by-number series - do not plot together.</t>
  </si>
  <si>
    <t>DK.PAY.WLT.OWN</t>
  </si>
  <si>
    <t>Citizens holding a mobile wallet solution</t>
  </si>
  <si>
    <t>% of citizens</t>
  </si>
  <si>
    <t>Memo only - denominator differs from F2 series.</t>
  </si>
  <si>
    <t>DK.FIN.BRCH</t>
  </si>
  <si>
    <t>Bank branches</t>
  </si>
  <si>
    <t>count</t>
  </si>
  <si>
    <t>branches</t>
  </si>
  <si>
    <t>FD1</t>
  </si>
  <si>
    <t>Figure 1; Figure 2; Figure 8</t>
  </si>
  <si>
    <t>DK.FIN.INST</t>
  </si>
  <si>
    <t>Financial institutions</t>
  </si>
  <si>
    <t>institutions</t>
  </si>
  <si>
    <t>Figure 2; Figure 8</t>
  </si>
  <si>
    <t>DK.FIN.EMP</t>
  </si>
  <si>
    <t>Bank employees</t>
  </si>
  <si>
    <t>persons employed</t>
  </si>
  <si>
    <t>e</t>
  </si>
  <si>
    <t>Source states 'around 51,000'.</t>
  </si>
  <si>
    <t>Source states 'just under 36,000'.</t>
  </si>
  <si>
    <t>DK.ECM.IND.BUY</t>
  </si>
  <si>
    <t>Individuals who bought online in last 12 months</t>
  </si>
  <si>
    <t>% of individuals</t>
  </si>
  <si>
    <t>b</t>
  </si>
  <si>
    <t>ES1</t>
  </si>
  <si>
    <t>BREAK: denominator is % of individuals. Highest in EU that year.</t>
  </si>
  <si>
    <t>% of internet users</t>
  </si>
  <si>
    <t>ES2</t>
  </si>
  <si>
    <t>Rounded, from a Eurostat news release. Only the 2024 cross-section is available here unrounded, so this series mixes precisions across years.</t>
  </si>
  <si>
    <t>ES3</t>
  </si>
  <si>
    <t>Rounded, from a Eurostat news release. See the 2020 note on mixed precision.</t>
  </si>
  <si>
    <t>EU.ECM.IND.BUY</t>
  </si>
  <si>
    <t>ES7</t>
  </si>
  <si>
    <t>AT.ECM.IND.BUY</t>
  </si>
  <si>
    <t>AT</t>
  </si>
  <si>
    <t>BE.ECM.IND.BUY</t>
  </si>
  <si>
    <t>BE</t>
  </si>
  <si>
    <t>BG.ECM.IND.BUY</t>
  </si>
  <si>
    <t>BG</t>
  </si>
  <si>
    <t>Lowest of the 27, as the press release reported. Supersedes the rounded 57%.</t>
  </si>
  <si>
    <t>CY.ECM.IND.BUY</t>
  </si>
  <si>
    <t>CY</t>
  </si>
  <si>
    <t>CZ.ECM.IND.BUY</t>
  </si>
  <si>
    <t>CZ</t>
  </si>
  <si>
    <t>DE.ECM.IND.BUY</t>
  </si>
  <si>
    <t>DE</t>
  </si>
  <si>
    <t>Supersedes the rounded 83%.</t>
  </si>
  <si>
    <t>Supersedes the rounded 91% taken from the Eurostat press release.</t>
  </si>
  <si>
    <t>EE.ECM.IND.BUY</t>
  </si>
  <si>
    <t>EE</t>
  </si>
  <si>
    <t>EL.ECM.IND.BUY</t>
  </si>
  <si>
    <t>EL</t>
  </si>
  <si>
    <t>ES.ECM.IND.BUY</t>
  </si>
  <si>
    <t>ES</t>
  </si>
  <si>
    <t>FI.ECM.IND.BUY</t>
  </si>
  <si>
    <t>FI</t>
  </si>
  <si>
    <t>FR.ECM.IND.BUY</t>
  </si>
  <si>
    <t>FR</t>
  </si>
  <si>
    <t>HR.ECM.IND.BUY</t>
  </si>
  <si>
    <t>HR</t>
  </si>
  <si>
    <t>HU.ECM.IND.BUY</t>
  </si>
  <si>
    <t>HU</t>
  </si>
  <si>
    <t>Supersedes the rounded 79%.</t>
  </si>
  <si>
    <t>IE.ECM.IND.BUY</t>
  </si>
  <si>
    <t>IE</t>
  </si>
  <si>
    <t>Highest in EU. Supersedes the rounded 96%.</t>
  </si>
  <si>
    <t>IT.ECM.IND.BUY</t>
  </si>
  <si>
    <t>IT</t>
  </si>
  <si>
    <t>Second lowest of the 27. Supersedes the rounded 60%, which tied Italy with Romania; unrounded Italy is below Romania, so they are not tied.</t>
  </si>
  <si>
    <t>LT.ECM.IND.BUY</t>
  </si>
  <si>
    <t>LT</t>
  </si>
  <si>
    <t>Supersedes the rounded 72%.</t>
  </si>
  <si>
    <t>LU.ECM.IND.BUY</t>
  </si>
  <si>
    <t>LU</t>
  </si>
  <si>
    <t>LV.ECM.IND.BUY</t>
  </si>
  <si>
    <t>LV</t>
  </si>
  <si>
    <t>MT.ECM.IND.BUY</t>
  </si>
  <si>
    <t>MT</t>
  </si>
  <si>
    <t>NL.ECM.IND.BUY</t>
  </si>
  <si>
    <t>NL</t>
  </si>
  <si>
    <t>Supersedes the rounded 94%.</t>
  </si>
  <si>
    <t>PL.ECM.IND.BUY</t>
  </si>
  <si>
    <t>PL</t>
  </si>
  <si>
    <t>PT.ECM.IND.BUY</t>
  </si>
  <si>
    <t>PT</t>
  </si>
  <si>
    <t>RO.ECM.IND.BUY</t>
  </si>
  <si>
    <t>RO</t>
  </si>
  <si>
    <t>Supersedes the rounded 60%. See the Italy note on the tie.</t>
  </si>
  <si>
    <t>SE.ECM.IND.BUY</t>
  </si>
  <si>
    <t>SE</t>
  </si>
  <si>
    <t>SI.ECM.IND.BUY</t>
  </si>
  <si>
    <t>SI</t>
  </si>
  <si>
    <t>SK.ECM.IND.BUY</t>
  </si>
  <si>
    <t>SK</t>
  </si>
  <si>
    <t>ES4</t>
  </si>
  <si>
    <t>DK.ECM.ENT.TRN</t>
  </si>
  <si>
    <t>E-sales as share of enterprise turnover</t>
  </si>
  <si>
    <t>% of total enterprise turnover</t>
  </si>
  <si>
    <t>ES5</t>
  </si>
  <si>
    <t>Figure 5</t>
  </si>
  <si>
    <t>2nd in EU after Ireland.</t>
  </si>
  <si>
    <t>EU.ECM.ENT.TRN</t>
  </si>
  <si>
    <t>IE.ECM.ENT.TRN</t>
  </si>
  <si>
    <t>Highest in EU.</t>
  </si>
  <si>
    <t>BE.ECM.ENT.TRN</t>
  </si>
  <si>
    <t>u</t>
  </si>
  <si>
    <t>ES6</t>
  </si>
  <si>
    <t>SE.ECM.ENT.TRN</t>
  </si>
  <si>
    <t>CZ.ECM.ENT.TRN</t>
  </si>
  <si>
    <t>LU.ECM.ENT.TRN</t>
  </si>
  <si>
    <t>HU.ECM.ENT.TRN</t>
  </si>
  <si>
    <t>DE.ECM.ENT.TRN</t>
  </si>
  <si>
    <t>AT.ECM.ENT.TRN</t>
  </si>
  <si>
    <t>HR.ECM.ENT.TRN</t>
  </si>
  <si>
    <t>ES.ECM.ENT.TRN</t>
  </si>
  <si>
    <t>PL.ECM.ENT.TRN</t>
  </si>
  <si>
    <t>SI.ECM.ENT.TRN</t>
  </si>
  <si>
    <t>IT.ECM.ENT.TRN</t>
  </si>
  <si>
    <t>MT.ECM.ENT.TRN</t>
  </si>
  <si>
    <t>FR.ECM.ENT.TRN</t>
  </si>
  <si>
    <t>CY.ECM.ENT.TRN</t>
  </si>
  <si>
    <t>BG.ECM.ENT.TRN</t>
  </si>
  <si>
    <t>DK.ECM.ENT.SHR</t>
  </si>
  <si>
    <t>Enterprises making e-sales</t>
  </si>
  <si>
    <t>% of enterprises</t>
  </si>
  <si>
    <t>2nd in EU after Lithuania.</t>
  </si>
  <si>
    <t>LT.ECM.ENT.SHR</t>
  </si>
  <si>
    <t>DK.DGP.EXMP</t>
  </si>
  <si>
    <t>Citizens formally exempt from Digital Post</t>
  </si>
  <si>
    <t>% of citizens aged 15+ resident in Denmark</t>
  </si>
  <si>
    <t>DG1</t>
  </si>
  <si>
    <t>Figure 8; Figure 9</t>
  </si>
  <si>
    <t>April 2025; approx. 256,000 citizens.</t>
  </si>
  <si>
    <t>Q1 2026; 238,479 citizens. 95.2% enrolled.</t>
  </si>
  <si>
    <t>DK.DGP.EXMP.7584</t>
  </si>
  <si>
    <t>Exemption rate, age 75-84</t>
  </si>
  <si>
    <t>% of age group</t>
  </si>
  <si>
    <t>Source states 'nearly one in five'.</t>
  </si>
  <si>
    <t>DK.DGP.EXMP.85P</t>
  </si>
  <si>
    <t>Exemption rate, age 85+</t>
  </si>
  <si>
    <t>Source states 'roughly one in three'.</t>
  </si>
  <si>
    <t>DK.DGX.NOUSE</t>
  </si>
  <si>
    <t>Do not use digital public services at all</t>
  </si>
  <si>
    <t>% of population</t>
  </si>
  <si>
    <t>EC1</t>
  </si>
  <si>
    <t>Agency for Digital Government estimate.</t>
  </si>
  <si>
    <t>DK.DGX.DIFF</t>
  </si>
  <si>
    <t>Face difficulties using digital public services</t>
  </si>
  <si>
    <t>DK.DGX.DISADV.LO</t>
  </si>
  <si>
    <t>'Digitally disadvantaged' - lower bound</t>
  </si>
  <si>
    <t>% of adult population</t>
  </si>
  <si>
    <t>DG2</t>
  </si>
  <si>
    <t>Figure 9</t>
  </si>
  <si>
    <t>Published as a 17-22% range.</t>
  </si>
  <si>
    <t>DK.DGX.DISADV.HI</t>
  </si>
  <si>
    <t>'Digitally disadvantaged' - upper bound</t>
  </si>
  <si>
    <t>DK.DGX.JUST</t>
  </si>
  <si>
    <t>'Digitally disadvantaged' - Justitia estimate</t>
  </si>
  <si>
    <t>JU1</t>
  </si>
  <si>
    <t>Report states 'up to a quarter of the adult population'.</t>
  </si>
  <si>
    <t>DK.TRU.DPS</t>
  </si>
  <si>
    <t>Trust in digital public solutions</t>
  </si>
  <si>
    <t>Record high.</t>
  </si>
  <si>
    <t>DK.TRU.DGP.SEC</t>
  </si>
  <si>
    <t>Perceived security of Digital Post</t>
  </si>
  <si>
    <t>DK.SKL.1624</t>
  </si>
  <si>
    <t>At least basic digital skills, age 16-24</t>
  </si>
  <si>
    <t>Figure 10</t>
  </si>
  <si>
    <t>EU average carried as EU.SKL.1624.</t>
  </si>
  <si>
    <t>DK.SKL.2554</t>
  </si>
  <si>
    <t>At least basic digital skills, age 25-54</t>
  </si>
  <si>
    <t>EU average carried as EU.SKL.2554.</t>
  </si>
  <si>
    <t>DK.SKL.5574</t>
  </si>
  <si>
    <t>At least basic digital skills, age 55-74</t>
  </si>
  <si>
    <t>EU average carried as EU.SKL.5574.</t>
  </si>
  <si>
    <t>EU.SKL.1624</t>
  </si>
  <si>
    <t>Comparator for DK.SKL.1624.</t>
  </si>
  <si>
    <t>EU.SKL.2554</t>
  </si>
  <si>
    <t>Comparator for DK.SKL.2554.</t>
  </si>
  <si>
    <t>EU.SKL.5574</t>
  </si>
  <si>
    <t>Comparator for DK.SKL.5574.</t>
  </si>
  <si>
    <t>DK.ENT.DII</t>
  </si>
  <si>
    <t>SMEs with at least basic digital intensity</t>
  </si>
  <si>
    <t>% of SMEs</t>
  </si>
  <si>
    <t>EU average 71.39%.</t>
  </si>
  <si>
    <t>EU.ENT.DII</t>
  </si>
  <si>
    <t>DK.ENT.AI</t>
  </si>
  <si>
    <t>Enterprises adopting AI</t>
  </si>
  <si>
    <t>Figure 6</t>
  </si>
  <si>
    <t>EU average 19.95%.</t>
  </si>
  <si>
    <t>DK.ENT.AI.LRG</t>
  </si>
  <si>
    <t>Large enterprises adopting AI</t>
  </si>
  <si>
    <t>% of large enterprises (250+)</t>
  </si>
  <si>
    <t>Figure 6; Figure 8</t>
  </si>
  <si>
    <t>DK.ENT.AI.SME</t>
  </si>
  <si>
    <t>SMEs adopting AI</t>
  </si>
  <si>
    <t>% of SMEs (10-249)</t>
  </si>
  <si>
    <t>DK.GOV.DPS.CIT</t>
  </si>
  <si>
    <t>Digital public services for citizens (score)</t>
  </si>
  <si>
    <t>score 0-100</t>
  </si>
  <si>
    <t>eGovernment Benchmark score</t>
  </si>
  <si>
    <t>BELOW the EU average of 84.64.</t>
  </si>
  <si>
    <t>EU.GOV.DPS.CIT</t>
  </si>
  <si>
    <t>DK.GOV.DPS.XB</t>
  </si>
  <si>
    <t>Cross-border digital public services, citizens (score)</t>
  </si>
  <si>
    <t>EU average 75.28.</t>
  </si>
  <si>
    <t>DK.ENV.WEEE</t>
  </si>
  <si>
    <t>ICT waste recycled or prepared for reuse</t>
  </si>
  <si>
    <t>% of ICT-related WEEE collected</t>
  </si>
  <si>
    <t>Figure 7</t>
  </si>
  <si>
    <t>Among the lowest in the EU; EU average 80.23%.</t>
  </si>
  <si>
    <t>EU.ENV.WEEE</t>
  </si>
  <si>
    <t>DK.SME.SMVD.PROJ</t>
  </si>
  <si>
    <t>SMV:Digital projects supported since 2018</t>
  </si>
  <si>
    <t>digitalisation projects</t>
  </si>
  <si>
    <t>DG3</t>
  </si>
  <si>
    <t>Appendix B</t>
  </si>
  <si>
    <t>Source states 'knap 7.000' (just under 7,000).</t>
  </si>
  <si>
    <t>DK.SME.SMVD.INV</t>
  </si>
  <si>
    <t>Participants who invested further during the project</t>
  </si>
  <si>
    <t>% of participating enterprises</t>
  </si>
  <si>
    <t>DK.SME.SMVD.NOINV</t>
  </si>
  <si>
    <t>Participants with no further investment plans</t>
  </si>
  <si>
    <t>DK.POP.TOT</t>
  </si>
  <si>
    <t>Resident population</t>
  </si>
  <si>
    <t>persons resident in Denmark</t>
  </si>
  <si>
    <t>DST2</t>
  </si>
  <si>
    <t>Appendix D</t>
  </si>
  <si>
    <t>As at 1 January 2026.</t>
  </si>
  <si>
    <t>DK.DGP.EXMP.N</t>
  </si>
  <si>
    <t>citizens aged 15+ resident in Denmark</t>
  </si>
  <si>
    <t>April 2025; source states approx. 256,000.</t>
  </si>
  <si>
    <t>Q1 2026. Paired with the 4.7% rate, implies a 15+ base of about 5.07m.</t>
  </si>
  <si>
    <t>DK.GOV.DGP.SAVE.PLAN</t>
  </si>
  <si>
    <t>Digital Post: projected annual public saving</t>
  </si>
  <si>
    <t>million DKK per year</t>
  </si>
  <si>
    <t>projected annual saving, whole public sector</t>
  </si>
  <si>
    <t>RR1</t>
  </si>
  <si>
    <t>Ministry of Finance business case; Rigsrevisionen reports it as 'approx. 1bn'.</t>
  </si>
  <si>
    <t>DK.GOV.DGP.SAVE.VERIF</t>
  </si>
  <si>
    <t>Digital Post: annual saving verifiable by audit</t>
  </si>
  <si>
    <t>verified annual saving, whole public sector</t>
  </si>
  <si>
    <t>Postage, paper and envelopes only. The wage and overhead component was never verified: the cross-government study was abandoned after KL declined to take part.</t>
  </si>
  <si>
    <t>DK.PRD.LP.PER</t>
  </si>
  <si>
    <t>Nominal labour productivity per person</t>
  </si>
  <si>
    <t>index</t>
  </si>
  <si>
    <t>EU27_2020 = 100, current prices, PPS</t>
  </si>
  <si>
    <t>ES8</t>
  </si>
  <si>
    <t>Appendix A</t>
  </si>
  <si>
    <t>Source register</t>
  </si>
  <si>
    <t>Every source_id used in 02_MASTER, with the authority that published it and the date it was retrieved.</t>
  </si>
  <si>
    <t>authority</t>
  </si>
  <si>
    <t>title</t>
  </si>
  <si>
    <t>dataset code</t>
  </si>
  <si>
    <t>accessed</t>
  </si>
  <si>
    <t>URL</t>
  </si>
  <si>
    <t>Harvard reference</t>
  </si>
  <si>
    <t>BE1</t>
  </si>
  <si>
    <t>Cour constitutionnelle (Belgium)</t>
  </si>
  <si>
    <t>Arrêt no. 126/2025 - Brussels Digital ordinance; cumulative non-digital access guarantees</t>
  </si>
  <si>
    <t>ECLI:BE:GHCC:2025:ARR.126</t>
  </si>
  <si>
    <t>2026-09-13</t>
  </si>
  <si>
    <t>https://fr.const-court.be/public/f/2025/2025-126f.pdf</t>
  </si>
  <si>
    <t>Cour constitutionnelle 2025, Arrêt no. 126/2025, 25 September 2025, ECLI:BE:GHCC:2025:ARR.126, Cour constitutionnelle, Brussels, accessed 13 September 2026, &lt;https://fr.const-court.be/public/f/2025/2025-126f.pdf&gt;.</t>
  </si>
  <si>
    <t>BRH1</t>
  </si>
  <si>
    <t>Bundesrechnungshof</t>
  </si>
  <si>
    <t>Bemerkungen 2022 zur Haushalts- und Wirtschaftsführung des Bundes - findings on the Digital Jetzt lottery allocation</t>
  </si>
  <si>
    <t>Bemerkungen 2022</t>
  </si>
  <si>
    <t>https://www.bundesrechnungshof.de/SharedDocs/Pressemitteilungen/DE/2022/bemerkungen2022-hauptband.html</t>
  </si>
  <si>
    <t>Bundesrechnungshof 2022, Bemerkungen 2022 zur Haushalts- und Wirtschaftsführung des Bundes, German Federal Court of Auditors, Bonn, accessed 13 September 2026, &lt;https://www.bundesrechnungshof.de/SharedDocs/Pressemitteilungen/DE/2022/bemerkungen2022-hauptband.html&gt;.</t>
  </si>
  <si>
    <t>CE1</t>
  </si>
  <si>
    <t>Conseil d'État (France)</t>
  </si>
  <si>
    <t>Decision No. 452798 - partial annulment of the ANEF decree mandating online-only residence permit applications</t>
  </si>
  <si>
    <t>No. 452798</t>
  </si>
  <si>
    <t>https://www.conseil-etat.fr/fr/arianeweb/CE/decision/2022-06-03/452798</t>
  </si>
  <si>
    <t>Conseil d'État 2022, Decision No. 452798, 3 June 2022, Conseil d'État, Paris, accessed 13 September 2026, &lt;https://www.conseil-etat.fr/fr/arianeweb/CE/decision/2022-06-03/452798&gt;.</t>
  </si>
  <si>
    <t>Digitaliseringsstyrelsen (Danish Agency for Digital Government)</t>
  </si>
  <si>
    <t>Statistik om Digital Post</t>
  </si>
  <si>
    <t>2026-09-12</t>
  </si>
  <si>
    <t>https://digst.dk/tal-og-statistik/</t>
  </si>
  <si>
    <t>Digitaliseringsstyrelsen 2026, Statistik om Digital Post, Agency for Digital Government, Copenhagen, accessed 12 September 2026, &lt;https://digst.dk/tal-og-statistik/&gt;.</t>
  </si>
  <si>
    <t>Hvem oplever udfordringer ved det digitale?</t>
  </si>
  <si>
    <t>https://digst.dk/digital-inklusion/viden-om-digital-inklusion/hvem-oplever-udfordringer-ved-det-digitale/</t>
  </si>
  <si>
    <t>Digitaliseringsstyrelsen 2025, Hvem oplever udfordringer ved det digitale?, Agency for Digital Government, Copenhagen, accessed 12 September 2026, &lt;https://digst.dk/digital-inklusion/viden-om-digital-inklusion/hvem-oplever-udfordringer-ved-det-digitale/&gt;.</t>
  </si>
  <si>
    <t>Digitaliseringsstyrelsen / Danmarks Statistik</t>
  </si>
  <si>
    <t>Effektmåling af SMV:Digital, June 2025</t>
  </si>
  <si>
    <t>https://digst.dk/media/yz2ouzzz/effektmaaling-af-smvdigital-2025.pdf</t>
  </si>
  <si>
    <t>Digitaliseringsstyrelsen 2025, Effektmåling af SMV:Digital, prepared by Danmarks Statistik, Agency for Digital Government, Copenhagen, accessed 12 September 2026, &lt;https://digst.dk/media/yz2ouzzz/effektmaaling-af-smvdigital-2025.pdf&gt;.</t>
  </si>
  <si>
    <t>DG4</t>
  </si>
  <si>
    <t>Digital Post – lovgivning, and the MitID transition news archive</t>
  </si>
  <si>
    <t>https://digst.dk/it-loesninger/digital-post/lovgivning/</t>
  </si>
  <si>
    <t>Digitaliseringsstyrelsen 2025, Digital Post – lovgivning, Agency for Digital Government, Copenhagen, accessed 12 September 2026, &lt;https://digst.dk/it-loesninger/digital-post/lovgivning/&gt;.</t>
  </si>
  <si>
    <t>DG5</t>
  </si>
  <si>
    <t>NemID is about to be closed</t>
  </si>
  <si>
    <t>2026-09-14</t>
  </si>
  <si>
    <t>https://www.mitid.dk/en-gb/about-mitid/news/nemid-is-about-to-be-closed/</t>
  </si>
  <si>
    <t>Digitaliseringsstyrelsen 2023, NemID is about to be closed, MitID, Agency for Digital Government, Copenhagen, accessed 14 September 2026, &lt;https://www.mitid.dk/en-gb/about-mitid/news/nemid-is-about-to-be-closed/&gt;.</t>
  </si>
  <si>
    <t>DST1</t>
  </si>
  <si>
    <t>Danmarks Statistik</t>
  </si>
  <si>
    <t>Detailomsætningsindeks (retail trade turnover index)</t>
  </si>
  <si>
    <t>StatBank; base year rebased 2015 -&gt; 2021</t>
  </si>
  <si>
    <t>https://www.dst.dk/da/Statistik/dokumentation/statistikdokumentation/detailomsaetningsindeks</t>
  </si>
  <si>
    <t>Danmarks Statistik 2025, Detailomsætningsindeks, Statistics Denmark, Copenhagen, accessed 12 September 2026, &lt;https://www.dst.dk/da/Statistik/dokumentation/statistikdokumentation/detailomsaetningsindeks&gt;.</t>
  </si>
  <si>
    <t>Befolkningstal (population figures)</t>
  </si>
  <si>
    <t>StatBank FOLK1A</t>
  </si>
  <si>
    <t>https://www.dst.dk/da/Statistik/emner/borgere/befolkning/befolkningstal</t>
  </si>
  <si>
    <t>Danmarks Statistik 2026, Befolkningstal, Statistics Denmark, Copenhagen, accessed 12 September 2026, &lt;https://www.dst.dk/da/Statistik/emner/borgere/befolkning/befolkningstal&gt;.</t>
  </si>
  <si>
    <t>European Commission</t>
  </si>
  <si>
    <t>Digital Decade 2026 country report: Denmark, SWD(2026) 155 final, Part 7/27, 17 June 2026</t>
  </si>
  <si>
    <t>DESI 2026</t>
  </si>
  <si>
    <t>https://digital-strategy.ec.europa.eu/en/policies/desi</t>
  </si>
  <si>
    <t>European Commission 2026, Digital Decade 2026 country report: Denmark, SWD(2026) 155 final, Part 7/27, European Commission, Brussels, accessed 12 September 2026, &lt;https://digital-strategy.ec.europa.eu/en/policies/desi&gt;.</t>
  </si>
  <si>
    <t>Eurostat</t>
  </si>
  <si>
    <t>E-commerce statistics for individuals (Statistics Explained)</t>
  </si>
  <si>
    <t>isoc_ec_ib20 / isoc_ec_ibuy</t>
  </si>
  <si>
    <t>https://ec.europa.eu/eurostat/statistics-explained/index.php?title=E-commerce_statistics_for_individuals</t>
  </si>
  <si>
    <t>Eurostat 2025, E-commerce statistics for individuals, Statistics Explained, European Commission, Luxembourg, accessed 12 September 2026, &lt;https://ec.europa.eu/eurostat/statistics-explained/index.php?title=E-commerce_statistics_for_individuals&gt;.</t>
  </si>
  <si>
    <t>Online shopping ever more popular in 2020 (ddn-20210217-1)</t>
  </si>
  <si>
    <t>isoc_ec_ib20</t>
  </si>
  <si>
    <t>https://ec.europa.eu/eurostat/web/products-eurostat-news/-/ddn-20210217-1</t>
  </si>
  <si>
    <t>Eurostat 2021, Online shopping ever more popular in 2020, European Commission, Luxembourg, accessed 12 September 2026, &lt;https://ec.europa.eu/eurostat/web/products-eurostat-news/-/ddn-20210217-1&gt;.</t>
  </si>
  <si>
    <t>Online shopping ever more popular (ddn-20220202-1)</t>
  </si>
  <si>
    <t>https://ec.europa.eu/eurostat/web/products-eurostat-news/-/ddn-20220202-1</t>
  </si>
  <si>
    <t>Eurostat 2022, Online shopping ever more popular, European Commission, Luxembourg, accessed 12 September 2026, &lt;https://ec.europa.eu/eurostat/web/products-eurostat-news/-/ddn-20220202-1&gt;.</t>
  </si>
  <si>
    <t>E-commerce statistics for individuals, 2024 reference year (ddn-20250220-3)</t>
  </si>
  <si>
    <t>https://ec.europa.eu/eurostat/web/products-eurostat-news/w/ddn-20250220-3</t>
  </si>
  <si>
    <t>Eurostat 2025, E-commerce statistics for individuals, European Commission, Luxembourg, accessed 12 September 2026, &lt;https://ec.europa.eu/eurostat/web/products-eurostat-news/w/ddn-20250220-3&gt;.</t>
  </si>
  <si>
    <t>EU enterprises' online sales reach new heights in 2023 (ddn-20250227-2)</t>
  </si>
  <si>
    <t>isoc_ec_evaln2 / tin00110</t>
  </si>
  <si>
    <t>https://ec.europa.eu/eurostat/web/products-eurostat-news/w/ddn-20250227-2</t>
  </si>
  <si>
    <t>Eurostat 2025, EU enterprises' online sales reach new heights, European Commission, Luxembourg, accessed 12 September 2026, &lt;https://ec.europa.eu/eurostat/web/products-eurostat-news/w/ddn-20250227-2&gt;.</t>
  </si>
  <si>
    <t>Share of enterprises' turnover on e-commerce, by country (country-level values retrieved via search of the Eurostat indicator)</t>
  </si>
  <si>
    <t>tin00110</t>
  </si>
  <si>
    <t>https://ec.europa.eu/eurostat/databrowser/view/tin00110/default/table?lang=en</t>
  </si>
  <si>
    <t>Eurostat 2025, Share of enterprises' turnover on e-commerce (tin00110), European Commission, Luxembourg, accessed 12 September 2026, &lt;https://ec.europa.eu/eurostat/databrowser/view/tin00110/default/table?lang=en&gt;.</t>
  </si>
  <si>
    <t>Internet purchases by individuals (2020 onwards) - custom extraction, all individuals, last online purchase in the 12 months, percentage of individuals who used internet within the last year, 2024</t>
  </si>
  <si>
    <t>https://ec.europa.eu/eurostat/databrowser/view/isoc_ec_ib20/default/table?lang=en</t>
  </si>
  <si>
    <t>Eurostat 2026, Internet purchases by individuals (2020 onwards), dataset isoc_ec_ib20, Statistical Office of the European Union, Luxembourg, data last updated 17 April 2026, accessed 12 September 2026, &lt;https://ec.europa.eu/eurostat/databrowser/view/isoc_ec_ib20/default/table?lang=en&gt;.</t>
  </si>
  <si>
    <t>Labour productivity per person employed and hour worked (EU27_2020=100) - custom extraction, nominal labour productivity per person, Denmark, 2005-2025</t>
  </si>
  <si>
    <t>tesem160</t>
  </si>
  <si>
    <t>https://ec.europa.eu/eurostat/databrowser/view/tesem160/default/table?lang=en</t>
  </si>
  <si>
    <t>Eurostat 2026, Labour productivity per person employed and hour worked (EU27_2020=100), dataset tesem160, Statistical Office of the European Union, Luxembourg, data last updated 9 September 2026, accessed 13 September 2026, &lt;https://ec.europa.eu/eurostat/databrowser/view/tesem160/default/table?lang=en&gt;.</t>
  </si>
  <si>
    <t>E-government activities of individuals via websites - individuals using the internet for interaction with public authorities, last 12 months</t>
  </si>
  <si>
    <t>isoc_ciegi_ac</t>
  </si>
  <si>
    <t>https://ec.europa.eu/eurostat/databrowser/view/isoc_ciegi_ac/default/table?lang=en</t>
  </si>
  <si>
    <t>Eurostat 2026, E-government activities of individuals via websites, dataset isoc_ciegi_ac, Statistical Office of the European Union, Luxembourg, accessed 14 September 2026, &lt;https://ec.europa.eu/eurostat/databrowser/view/isoc_ciegi_ac/default/table?lang=en&gt;.</t>
  </si>
  <si>
    <t>Finans Danmark</t>
  </si>
  <si>
    <t>Institutter, filialer &amp; ansatte</t>
  </si>
  <si>
    <t>https://finansdanmark.dk/tal-og-data/institutter-filialer-ansatte/</t>
  </si>
  <si>
    <t>Finans Danmark 2025, Institutter, filialer &amp; ansatte, Finans Danmark, Copenhagen, accessed 12 September 2026, &lt;https://finansdanmark.dk/tal-og-data/institutter-filialer-ansatte/&gt;.</t>
  </si>
  <si>
    <t>GS1</t>
  </si>
  <si>
    <t>Tran, T.T.</t>
  </si>
  <si>
    <t>Guest speaker session: corporate sustainability and the adoption of artificial intelligence</t>
  </si>
  <si>
    <t>ECON1596/ECON1597 guest lecture</t>
  </si>
  <si>
    <t>Tran, TT 2026, 'Guest speaker session: corporate sustainability and the adoption of artificial intelligence', guest lecture, ECON1596 Business Challenges in the Digital Economy, RMIT University Vietnam, Ho Chi Minh City, [LECTURE DATE: to be completed by the author].</t>
  </si>
  <si>
    <t>HOW1</t>
  </si>
  <si>
    <t>Howell, S.T.</t>
  </si>
  <si>
    <t>Financing Innovation: Evidence from R&amp;D Grants</t>
  </si>
  <si>
    <t>American Economic Review 107(4)</t>
  </si>
  <si>
    <t>https://www.aeaweb.org/articles?id=10.1257%2Faer.20150808</t>
  </si>
  <si>
    <t>Howell, ST 2017, 'Financing innovation: evidence from R&amp;D grants', American Economic Review, vol. 107, no. 4, pp. 1136-1164.</t>
  </si>
  <si>
    <t>IMR1</t>
  </si>
  <si>
    <t>Institut for Menneskerettigheder (Danish Institute for Human Rights)</t>
  </si>
  <si>
    <t>Rettigheder i den digitale velfærdsstat, December 2023</t>
  </si>
  <si>
    <t>https://menneskeret.dk/sites/menneskeret.dk/files/media/document/Rettigheder%20i%20den%20digitale%20velf%C3%A6rdsstat.%20Analyse,%20Institut%20for%20Menneskerettigheder,%20december%202023.PDF</t>
  </si>
  <si>
    <t>Institut for Menneskerettigheder 2023, Rettigheder i den digitale velfærdsstat, Danish Institute for Human Rights, Copenhagen, accessed 12 September 2026, &lt;https://menneskeret.dk/sites/menneskeret.dk/files/media/document/Rettigheder%20i%20den%20digitale%20velf%C3%A6rdsstat.%20Analyse,%20Institut%20for%20Menneskerettigheder,%20december%202023.PDF&gt;.</t>
  </si>
  <si>
    <t>Justitia (independent Danish legal think tank)</t>
  </si>
  <si>
    <t>Retssikkerhed for digitalt udsatte borgere, July 2022</t>
  </si>
  <si>
    <t>Folketinget DIU Alm.del bilag 32</t>
  </si>
  <si>
    <t>https://justitia-int.org/wp-content/uploads/2022/09/Rapport_Retssikkerhed-for-digitalt-udsatte-borgere-1.pdf</t>
  </si>
  <si>
    <t>Justitia 2022, Retssikkerhed for digitalt udsatte borgere, Justitia, Copenhagen, accessed 12 September 2026, &lt;https://justitia-int.org/wp-content/uploads/2022/09/Rapport_Retssikkerhed-for-digitalt-udsatte-borgere-1.pdf&gt;.</t>
  </si>
  <si>
    <t>LOV1</t>
  </si>
  <si>
    <t>Folketinget</t>
  </si>
  <si>
    <t>Lov om fravigelse fra obligatorisk digital selvbetjening (Act on derogation from mandatory digital self-service)</t>
  </si>
  <si>
    <t>LOV nr 603 af 31/05/2023</t>
  </si>
  <si>
    <t>https://www.retsinformation.dk/eli/lta/2023/603</t>
  </si>
  <si>
    <t>Folketinget 2023, Lov om fravigelse fra obligatorisk digital selvbetjening, LOV nr 603 af 31. maj 2023, in force 1 June 2023, Retsinformation, Copenhagen, accessed 13 September 2026, &lt;https://www.retsinformation.dk/eli/lta/2023/603&gt;.</t>
  </si>
  <si>
    <t>Danmarks Nationalbank</t>
  </si>
  <si>
    <t>Danskernes betalingsvaner</t>
  </si>
  <si>
    <t>https://www.nationalbanken.dk/en/what-we-do/safe-and-efficient-payments/payment-habits-in-denmark</t>
  </si>
  <si>
    <t>Danmarks Nationalbank 2025, Danskernes betalingsvaner, Danmarks Nationalbank, Copenhagen, accessed 12 September 2026, &lt;https://www.nationalbanken.dk/en/what-we-do/safe-and-efficient-payments/payment-habits-in-denmark&gt;.</t>
  </si>
  <si>
    <t>NO1</t>
  </si>
  <si>
    <t>Digitaliseringsdirektoratet (Digdir)</t>
  </si>
  <si>
    <t>Kontakt- og reservasjonsregisteret and the statutory right to opt out of digital communication under eForvaltningsforskriften</t>
  </si>
  <si>
    <t>KRR</t>
  </si>
  <si>
    <t>https://www.digdir.no/digitale-felleslosninger/kontakt-og-reservasjonsregisteret-krr/865</t>
  </si>
  <si>
    <t>Digitaliseringsdirektoratet 2025, Kontakt- og reservasjonsregisteret, Norwegian Digitalisation Agency, Oslo, accessed 13 September 2026, &lt;https://www.digdir.no/digitale-felleslosninger/kontakt-og-reservasjonsregisteret-krr/865&gt;.</t>
  </si>
  <si>
    <t>RI1</t>
  </si>
  <si>
    <t>Retsinformation (Danish official legal information portal)</t>
  </si>
  <si>
    <t>Lov om Offentlig Digital Post, LOV nr 528 af 11/06/2012</t>
  </si>
  <si>
    <t>ELI: lta/2012/528</t>
  </si>
  <si>
    <t>https://www.retsinformation.dk/eli/lta/2012/528</t>
  </si>
  <si>
    <t>Folketinget 2012, Lov om Offentlig Digital Post, LOV nr 528 af 11. juni 2012, Retsinformation, Copenhagen, accessed 12 September 2026, &lt;https://www.retsinformation.dk/eli/lta/2012/528&gt;.</t>
  </si>
  <si>
    <t>RI2</t>
  </si>
  <si>
    <t>Finanstilsynet (Danish Financial Supervisory Authority)</t>
  </si>
  <si>
    <t>Kontantreglen – lov om betalinger § 81</t>
  </si>
  <si>
    <t>Lov om betalinger, § 81</t>
  </si>
  <si>
    <t>https://www.finanstilsynet.dk/finansielle-temaer/betalingstjenester-og-e-penge/kontantreglen</t>
  </si>
  <si>
    <t>Finanstilsynet 2025, Kontantreglen, Danish Financial Supervisory Authority, Copenhagen, accessed 12 September 2026, &lt;https://www.finanstilsynet.dk/finansielle-temaer/betalingstjenester-og-e-penge/kontantreglen&gt;.</t>
  </si>
  <si>
    <t>Rigsrevisionen (Danish National Audit Office)</t>
  </si>
  <si>
    <t>Beretning om besparelsespotentialet ved obligatorisk Digital Post på ca. 1 mia. kr. om året, January 2016</t>
  </si>
  <si>
    <t>https://www.rigsrevisionen.dk/revisionssager-arkiv/2016/jan/beretning-om-besparelsespotentialet-ved-obligatorisk-digital-post-paa-ca-1-mia-kr-om-aaret</t>
  </si>
  <si>
    <t>Rigsrevisionen 2016, Beretning om besparelsespotentialet ved obligatorisk Digital Post på ca. 1 mia. kr. om året, National Audit Office of Denmark, Copenhagen, accessed 12 September 2026, &lt;https://www.rigsrevisionen.dk/revisionssager-arkiv/2016/jan/beretning-om-besparelsespotentialet-ved-obligatorisk-digital-post-paa-ca-1-mia-kr-om-aaret&gt;.</t>
  </si>
  <si>
    <t>SAN1</t>
  </si>
  <si>
    <t>Santoleri, P., Barrows, G., Caravella, S., Crespi, F. and Pellegrino, G.</t>
  </si>
  <si>
    <t>The Causal Effects of R&amp;D Grants: Evidence from a Regression Discontinuity - the Horizon 2020 SME Instrument scoring threshold</t>
  </si>
  <si>
    <t>Working paper</t>
  </si>
  <si>
    <t>https://pietrosantoleri.github.io/files/Santoleri_et_al_The_effects_of_R_D_grants.pdf</t>
  </si>
  <si>
    <t>Santoleri, P, Barrows, G, Caravella, S, Crespi, F &amp; Pellegrino, G 2022, The causal effects of R&amp;D grants: evidence from a regression discontinuity, working paper, accessed 13 September 2026, &lt;https://pietrosantoleri.github.io/files/Santoleri_et_al_The_effects_of_R_D_grants.pdf&gt;.</t>
  </si>
  <si>
    <t>SMV1</t>
  </si>
  <si>
    <t>SMV:Digital (Danish SME digitalisation grant scheme)</t>
  </si>
  <si>
    <t>Tilskudspuljer i 2026</t>
  </si>
  <si>
    <t>https://smvdigital.dk/content/ydelser/tilskudspuljer-i-2026/8efa07f4-5032-47f4-b7fa-bab57412b762/</t>
  </si>
  <si>
    <t>SMV:Digital 2026, Tilskudspuljer i 2026, SMV:Digital, Copenhagen, accessed 12 September 2026, &lt;https://smvdigital.dk/content/ydelser/tilskudspuljer-i-2026/8efa07f4-5032-47f4-b7fa-bab57412b762/&gt;.</t>
  </si>
  <si>
    <t>What each series measures</t>
  </si>
  <si>
    <t>One row per series code. The denominator is the column that decides whether two values may be compared.</t>
  </si>
  <si>
    <t>observations</t>
  </si>
  <si>
    <t>years</t>
  </si>
  <si>
    <t>feeds</t>
  </si>
  <si>
    <t>2024</t>
  </si>
  <si>
    <t>2025-2026</t>
  </si>
  <si>
    <t>2022</t>
  </si>
  <si>
    <t>2026</t>
  </si>
  <si>
    <t>2025</t>
  </si>
  <si>
    <t>2014-2024</t>
  </si>
  <si>
    <t>2019-2024</t>
  </si>
  <si>
    <t>2023</t>
  </si>
  <si>
    <t>2004-2024</t>
  </si>
  <si>
    <t>1991-2024</t>
  </si>
  <si>
    <t>2016</t>
  </si>
  <si>
    <t>2017-2025</t>
  </si>
  <si>
    <t>2019-2025</t>
  </si>
  <si>
    <t>2005-2025</t>
  </si>
  <si>
    <t>2024-2025</t>
  </si>
  <si>
    <t>Flag legend</t>
  </si>
  <si>
    <t>Break in series - definition or denominator changed. Do not plot across.</t>
  </si>
  <si>
    <t>Estimate - the source gives an approximation or a verbal quantity.</t>
  </si>
  <si>
    <t>p</t>
  </si>
  <si>
    <t>Provisional.</t>
  </si>
  <si>
    <t>d</t>
  </si>
  <si>
    <t>Definition differs from the rest of the series.</t>
  </si>
  <si>
    <t>Low reliability.</t>
  </si>
  <si>
    <t>(blank)</t>
  </si>
  <si>
    <t>Value as published, with no qualification.</t>
  </si>
  <si>
    <t>A caveat about blanks</t>
  </si>
  <si>
    <t>Number formats in this workbook carry a fourth, text section so that a value which does not exist renders as an en-dash rather than as an empty cell: a gap should look like a gap and not like an oversight. The cost is that a genuine zero would render the same way. No series here has a meaningful zero, so the two cannot be confused in this workbook - but they could be in one that did.</t>
  </si>
  <si>
    <t>Derived quantities</t>
  </si>
  <si>
    <t>Every value in the result column is a live formula over 02_MASTER. None is typed.</t>
  </si>
  <si>
    <t>quantity</t>
  </si>
  <si>
    <t>result</t>
  </si>
  <si>
    <t>how it is built</t>
  </si>
  <si>
    <t>Bank branches, 2004</t>
  </si>
  <si>
    <t>As published.</t>
  </si>
  <si>
    <t>Bank branches, 2024</t>
  </si>
  <si>
    <t>Branch network, change 2004-2024</t>
  </si>
  <si>
    <t>2024 branches divided by 2004 branches, less one.</t>
  </si>
  <si>
    <t>Cash share of physical-retail payments, 2017</t>
  </si>
  <si>
    <t>Cash share of physical-retail payments, 2025</t>
  </si>
  <si>
    <t>Cash share, change 2017-2025</t>
  </si>
  <si>
    <t>pp</t>
  </si>
  <si>
    <t>2025 share less 2017 share, in percentage points.</t>
  </si>
  <si>
    <t>Cash share, proportional decline 2017-2025</t>
  </si>
  <si>
    <t>The same change expressed against the 2017 level.</t>
  </si>
  <si>
    <t>DK e-sales share of turnover, change 2014-2024</t>
  </si>
  <si>
    <t>Percentage points, Denmark.</t>
  </si>
  <si>
    <t>EU e-sales share of turnover, change 2014-2024</t>
  </si>
  <si>
    <t>Percentage points, EU-27 aggregate.</t>
  </si>
  <si>
    <t>DK lead over EU on e-sales turnover, 2024</t>
  </si>
  <si>
    <t>Denmark less the EU-27 aggregate, same year and base.</t>
  </si>
  <si>
    <t>Formally exempt from Digital Post, Q1 2026</t>
  </si>
  <si>
    <t>Face difficulty with digital public services</t>
  </si>
  <si>
    <t>Difficulty as a multiple of formal exemption</t>
  </si>
  <si>
    <t>times</t>
  </si>
  <si>
    <t>The narrowest capability measure divided by the administrative one.</t>
  </si>
  <si>
    <t>Face difficulty but are not exempt</t>
  </si>
  <si>
    <t>Difficulty less formal exemption, in percentage points.</t>
  </si>
  <si>
    <t>Resident population, 1 January 2026</t>
  </si>
  <si>
    <t>Citizens formally exempt, Q1 2026</t>
  </si>
  <si>
    <t>Change in exempt headcount, 2025 to 2026</t>
  </si>
  <si>
    <t>2026 headcount less 2025 headcount. The 2025 figure is an estimate.</t>
  </si>
  <si>
    <t>Digital skills gap, 16-24 against 55-74</t>
  </si>
  <si>
    <t>Younger band less older band, percentage points.</t>
  </si>
  <si>
    <t>AI adoption gap, large firms against SMEs</t>
  </si>
  <si>
    <t>Large-firm adoption less SME adoption, percentage points.</t>
  </si>
  <si>
    <t>ICT waste recovery, DK against EU-27</t>
  </si>
  <si>
    <t>Denmark less the EU-27 aggregate, percentage points.</t>
  </si>
  <si>
    <t>E-government use, DK against EU-27</t>
  </si>
  <si>
    <t>Denmark less the EU-27 aggregate, same base and reference period.</t>
  </si>
  <si>
    <t>Series behind the report figures</t>
  </si>
  <si>
    <t>Every figure that is not drawn on its own sheet in this workbook. A series feeding more than one figure appears once, with every figure it feeds named in the last column.</t>
  </si>
  <si>
    <t>source</t>
  </si>
  <si>
    <t>Series feeding a figure that IS drawn in this workbook are on that chart's own sheet: payments on F2_PAYMENTS, exclusion on F4_EXCLUSION, the cross-section on F6_ADOPT_BENEFIT.</t>
  </si>
  <si>
    <t>Source: As recorded per row in 03_SOURCES.</t>
  </si>
  <si>
    <t>Instrument shares of physical-retail payments</t>
  </si>
  <si>
    <t>Denmark, 2017 and 2025. Shares of the number of payments in physical retail, so the three are directly comparable.</t>
  </si>
  <si>
    <t>instrument</t>
  </si>
  <si>
    <t>2017</t>
  </si>
  <si>
    <t>Cash</t>
  </si>
  <si>
    <t>Physical payment card</t>
  </si>
  <si>
    <t>Mobile wallet</t>
  </si>
  <si>
    <t>The mobile wallet was not separately reported in 2017; the blank is a gap, not a zero.</t>
  </si>
  <si>
    <t>Source: Danmarks Nationalbank, Danskernes betalingsvaner. Series DK.PAY.CASH.POS, DK.PAY.CRD.PHYS, DK.PAY.WLT.SHR in 02_MASTER.</t>
  </si>
  <si>
    <t>Six measures of digital exclusion in Denmark</t>
  </si>
  <si>
    <t>The same phenomenon under six definitions. The spread between them is the finding, not a discrepancy to be resolved.</t>
  </si>
  <si>
    <t>measure</t>
  </si>
  <si>
    <t>basis</t>
  </si>
  <si>
    <t>Formally exempt from Digital Post</t>
  </si>
  <si>
    <t>administrative status</t>
  </si>
  <si>
    <t>Do not use digital public services</t>
  </si>
  <si>
    <t>self-reported non-use</t>
  </si>
  <si>
    <t>Face difficulty using digital public services</t>
  </si>
  <si>
    <t>capability</t>
  </si>
  <si>
    <t>'Digitally disadvantaged', lower bound</t>
  </si>
  <si>
    <t>capability estimate</t>
  </si>
  <si>
    <t>'Digitally disadvantaged', upper bound</t>
  </si>
  <si>
    <t>'Digitally disadvantaged', broadest definition</t>
  </si>
  <si>
    <t>Amber rows are estimates rather than published counts, and are drawn in the lighter tint.</t>
  </si>
  <si>
    <t>Source: Digitaliseringsstyrelsen, Eurostat and Justitia, as recorded per row in 03_SOURCES.</t>
  </si>
  <si>
    <t>Individuals who bought online, EU-27, 2024</t>
  </si>
  <si>
    <t>All 27 member states on one base. Denmark is the subject; the other 26 are context.</t>
  </si>
  <si>
    <t>country</t>
  </si>
  <si>
    <t>EU-27 average</t>
  </si>
  <si>
    <t>Ireland</t>
  </si>
  <si>
    <t>Netherlands</t>
  </si>
  <si>
    <t>Denmark</t>
  </si>
  <si>
    <t>Sweden</t>
  </si>
  <si>
    <t>Czechia</t>
  </si>
  <si>
    <t>Slovakia</t>
  </si>
  <si>
    <t>France</t>
  </si>
  <si>
    <t>Germany</t>
  </si>
  <si>
    <t>Luxembourg</t>
  </si>
  <si>
    <t>Finland</t>
  </si>
  <si>
    <t>Belgium</t>
  </si>
  <si>
    <t>Hungary</t>
  </si>
  <si>
    <t>Estonia</t>
  </si>
  <si>
    <t>Poland</t>
  </si>
  <si>
    <t>Greece</t>
  </si>
  <si>
    <t>Austria</t>
  </si>
  <si>
    <t>Malta</t>
  </si>
  <si>
    <t>Slovenia</t>
  </si>
  <si>
    <t>Lithuania</t>
  </si>
  <si>
    <t>Spain</t>
  </si>
  <si>
    <t>Croatia</t>
  </si>
  <si>
    <t>Latvia</t>
  </si>
  <si>
    <t>Cyprus</t>
  </si>
  <si>
    <t>Portugal</t>
  </si>
  <si>
    <t>Romania</t>
  </si>
  <si>
    <t>Italy</t>
  </si>
  <si>
    <t>Bulgaria</t>
  </si>
  <si>
    <t>EU-27 aggregate</t>
  </si>
  <si>
    <t>Source: Eurostat isoc_ec_ib20. The aggregate is listed below the ranking rather than inside it, because it is not a country.</t>
  </si>
  <si>
    <t>Adoption against economic effect, EU, 2024</t>
  </si>
  <si>
    <t>Citizen adoption on the horizontal axis, enterprise outcome on the vertical. Only countries holding both measures appear.</t>
  </si>
  <si>
    <t>bought online (%)</t>
  </si>
  <si>
    <t>e-sales, % of turnover</t>
  </si>
  <si>
    <t>OLS, computed live from the table above</t>
  </si>
  <si>
    <t>n</t>
  </si>
  <si>
    <t>countries</t>
  </si>
  <si>
    <t>slope</t>
  </si>
  <si>
    <t>pp per pp</t>
  </si>
  <si>
    <t>intercept</t>
  </si>
  <si>
    <t>R-squared</t>
  </si>
  <si>
    <t>Holding adoption but not the outcome measure, so absent from this table: EE, EL, FI, LT, LV, NL, PT, RO, SK.</t>
  </si>
  <si>
    <t>Source: Eurostat isoc_ec_ib20 and isoc_ec_evaln2. The pairing is recomputed at build time from 02_MASTER.</t>
  </si>
  <si>
    <t>Policy events</t>
  </si>
  <si>
    <t>Dated instruments with their legal citations. A policy event is evidence and is held to the same standard as a number: no event is dated more finely than its source allows.</t>
  </si>
  <si>
    <t>date</t>
  </si>
  <si>
    <t>precision</t>
  </si>
  <si>
    <t>event</t>
  </si>
  <si>
    <t>legal citation</t>
  </si>
  <si>
    <t>bears on</t>
  </si>
  <si>
    <t>what it does</t>
  </si>
  <si>
    <t>2012-06-11</t>
  </si>
  <si>
    <t>day</t>
  </si>
  <si>
    <t>Lov om Offentlig Digital Post adopted</t>
  </si>
  <si>
    <t>LOV nr 528 af 11/06/2012</t>
  </si>
  <si>
    <t>Creates the statutory basis for mandatory public digital post. Section 10 deems delivery effective on availability, not on the message being read.</t>
  </si>
  <si>
    <t>2013-01-01</t>
  </si>
  <si>
    <t>Digital Post becomes mandatory for businesses</t>
  </si>
  <si>
    <t>Lov om Offentlig Digital Post</t>
  </si>
  <si>
    <t>Businesses are enrolled a year ahead of citizens.</t>
  </si>
  <si>
    <t>2014-11-01</t>
  </si>
  <si>
    <t>Digital Post becomes mandatory for citizens aged 15+</t>
  </si>
  <si>
    <t>Citizens are enrolled automatically whether or not they registered themselves. Exemption is available only against statutory criteria. This is the single most consequential date in this workbook.</t>
  </si>
  <si>
    <t>2016-01-01</t>
  </si>
  <si>
    <t>month</t>
  </si>
  <si>
    <t>Rigsrevisionen reports on the Digital Post business case</t>
  </si>
  <si>
    <t>Beretning, January 2016</t>
  </si>
  <si>
    <t>Of an approx. DKK 1bn projected annual saving, only DKK 450m - postage, paper and envelopes - could be verified.</t>
  </si>
  <si>
    <t>2018-01-01</t>
  </si>
  <si>
    <t>SMV:Digital launched</t>
  </si>
  <si>
    <t>Danish digital growth plan for SMEs</t>
  </si>
  <si>
    <t>Grant scheme subsidising SME digitalisation projects.</t>
  </si>
  <si>
    <t>2021-10-01</t>
  </si>
  <si>
    <t>MitID rollout begins</t>
  </si>
  <si>
    <t>National electronic ID replacement programme</t>
  </si>
  <si>
    <t>Begins the migration of the whole population off NemID.</t>
  </si>
  <si>
    <t>2022-07-01</t>
  </si>
  <si>
    <t>Kontantreglen amended</t>
  </si>
  <si>
    <t>Businesses may refuse cash from other businesses; temporary events are exempted; the notification duty for 06:00-20:00 acceptance is removed. The obligation on shops to accept cash from consumers remains.</t>
  </si>
  <si>
    <t>2022-09-22</t>
  </si>
  <si>
    <t>MitID required for public digital services</t>
  </si>
  <si>
    <t>From this date citizens need MitID for borger.dk, skat.dk and sundhed.dk.</t>
  </si>
  <si>
    <t>2023-10-31</t>
  </si>
  <si>
    <t>NemID fully phased out</t>
  </si>
  <si>
    <t>The predecessor credential can no longer be obtained or used.</t>
  </si>
  <si>
    <t>2026-01-01</t>
  </si>
  <si>
    <t>SMV:Digital grant pools continue</t>
  </si>
  <si>
    <t>The scheme is still operating and still awarding grants in 2026; a further pool opens on 26 October 2026. Recorded because an earlier draft of this workbook asserted the scheme was being defunded. It was not verifiable and the opposite is documented.</t>
  </si>
  <si>
    <t>Limitations, gaps, and the AI use log</t>
  </si>
  <si>
    <t>Read before citing any value.</t>
  </si>
  <si>
    <t>What this data cannot support</t>
  </si>
  <si>
    <t>limitation</t>
  </si>
  <si>
    <t>detail</t>
  </si>
  <si>
    <t>No inferential statistics beyond the one cross-section</t>
  </si>
  <si>
    <t>The longest time series here has six observations. Regression, cointegration and Granger-causality procedures require far more, and any such result on these series would be uninterpretable. The workbook supports description and comparison only. Co-movement between digital payment adoption and branch closures is presented as association, never as measured causation. The single exception is the 2024 cross-section on F6_ADOPT_BENEFIT, which is a genuine sample of 18 countries and is reported with its n, slope and R-squared on the sheet.</t>
  </si>
  <si>
    <t>Figure 6 tail selection - resolved, and what it cost</t>
  </si>
  <si>
    <t>The adoption column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The column is now the complete isoc_ec_ib20 databrowser extract for all 27 member states, so the selection is gone. The measured cost of the bias is kept because it is informative: on the 6 tail countries the fit was R-squared 0.853 with a slope of +0.655; on the complete cross-section it is R-squared 0.674 with a slope of +0.602. Tail selection barely moved the slope and flattered the fit by 0.18.</t>
  </si>
  <si>
    <t>No price deflator on the turnover series</t>
  </si>
  <si>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and none has been applied, so the doubling of intensity is nominal.</t>
  </si>
  <si>
    <t>Banking series use different base years</t>
  </si>
  <si>
    <t>Institutions and employment are comparable to each other, both 1991 to 2024. Branch counts begin in 2004. A 2004-2024 branch change and a 1991-2024 employment change are not comparable, and placing the two percentages side by side in prose would misrepresent both. 05_CALC labels every window explicitly. Either state both windows or do not draw the comparison. (This entry previously pointed at sheet F9_CONSOLIDATION, which the rebuild removed; the three series remain in 02_MASTER and are drawn as Figure 2 of the report.)</t>
  </si>
  <si>
    <t>No sampling error is reported anywhere</t>
  </si>
  <si>
    <t>The Eurostat, Nationalbank and Agency for Digital Government figures are survey estimates and carry sampling error that the issuing authorities publish but this workbook does not reproduce. Small differences should not be treated as established: a 2 to 3 point gap between two survey proportions, or between two eGovernment Benchmark scores, may not be distinguishable from zero. Directions are more robust than magnitudes throughout.</t>
  </si>
  <si>
    <t>Exclusion shares and exempt headcounts do not share a denominator</t>
  </si>
  <si>
    <t>REWRITTEN AT REBUILD. The previous workbook derived an implied 15-and-over population by dividing the exempt headcount by the exemption rate, because no published population figure had been verified. One has since been verified and is held as DK.POP.TOT, so 05_CALC now uses it directly and the derived base is gone. What remains true is the mismatch that matters: exemption is published on citizens aged 15 and over, whereas the capability measures are published on 'the population'. Converting a capability share into a headcount therefore gives an order of magnitude, not a count.</t>
  </si>
  <si>
    <t>A withdrawn claim about SMV:Digital</t>
  </si>
  <si>
    <t>An earlier draft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was removed from the dataset and from the report's argument, and the correction is recorded in 09_POLICY and in the AI log below rather than silently erased.</t>
  </si>
  <si>
    <t>Unbalanced panel</t>
  </si>
  <si>
    <t>Observation years differ by series because the underlying sources publish on different cycles: payment habits roughly biennially, Eurostat annually, branch counts irregularly. Gaps are genuine and are not filled. F2_PAYMENTS shows the sharpest case - the mobile wallet has one observation, so it is drawn as a single column and not as a trend.</t>
  </si>
  <si>
    <t>Denominator break</t>
  </si>
  <si>
    <t>Danish online-purchasing figures change base between 2019, which is a percentage of individuals, and 2020 onward, which is a percentage of internet users. The 2019 observation carries flag 'b' and is never plotted with later years.</t>
  </si>
  <si>
    <t>Verbal quantities</t>
  </si>
  <si>
    <t>Values flagged 'e' were published as words rather than figures - 'nearly one in five', 'just under 36,000'. They are recorded as the stated approximation with the original wording in the notes column, and drawn in a lighter tint wherever they are charted.</t>
  </si>
  <si>
    <t>Confounded outcome</t>
  </si>
  <si>
    <t>Branch closures reflect both digitalisation and sectoral consolidation: 219 institutions in 1991, 51 in 2024. The branch series alone cannot separate these, and the report does not claim that it does.</t>
  </si>
  <si>
    <t>Definitional spread in the exclusion measures</t>
  </si>
  <si>
    <t>The six measures on F4_EXCLUSION range from 4.7% to 25% because they define the population differently. They are not competing estimates of one quantity and must not be averaged or presented as a confidence range.</t>
  </si>
  <si>
    <t>Cross-section complete on adoption, incomplete on outcome</t>
  </si>
  <si>
    <t>The adoption measure covers all 27 member states for 2024, so F5_EU27 is a complete EU ranking. The enterprise-turnover measure does not: nine member states hold adoption but not turnover and cannot enter F6_ADOPT_BENEFIT, which names them on the sheet. Those nine are dropped by data availability rather than by their position on either axis, which is why the remaining 18 are treated as a usable cross-section.</t>
  </si>
  <si>
    <t>Figure 6 measures two sides of the market</t>
  </si>
  <si>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it is not written as though it were. There is no control for national income and this is one year of data.</t>
  </si>
  <si>
    <t>Mirror-sourced column</t>
  </si>
  <si>
    <t>The 16 country-level e-sales turnover values flagged 'u' were retrieved via search of Eurostat tin00110 rather than from the databrowser directly. Two values in the same column, the EU-27 aggregate at 19.49 and Ireland at 38.25, are independently corroborated by source ES5, which supports the column. Each value should still be spot-checked against the databrowser before final submission.</t>
  </si>
  <si>
    <t>Search-based verification</t>
  </si>
  <si>
    <t>Direct access to statistical portals was blocked in the build environment. Values were verified against the issuing authority through search results reporting those publications. This is weaker than downloading the dataset: before final submission, spot-check the high-stakes figures against the source pages directly.</t>
  </si>
  <si>
    <t>Discarded material</t>
  </si>
  <si>
    <t>An earlier candidate dataset was rejected in full after verification found fabricated values carrying authentic dataset codes and extraction dates, including a Eurostat cross-section that inverted the true EU country ranking. None of it survives in this workbook.</t>
  </si>
  <si>
    <t>A column that was removed rather than back-filled</t>
  </si>
  <si>
    <t>REWRITTEN AT REBUILD. The previous workbook carried a compiled_date column holding one build-time constant, identical on every row, which read as though it recorded when each value was retrieved. It did not - retrievals were made across several sessions on different days. The rebuild removes the column rather than inventing plausible per-value dates, and 03_SOURCES carries a real accessed date per source instead. Recording true per-observation retrieval dates requires capturing them at retrieval time in dataset.py, which is the correct fix and is not retrospective.</t>
  </si>
  <si>
    <t>Documented gap - retail trade volume index</t>
  </si>
  <si>
    <t>Recorded rather than silently omitted.</t>
  </si>
  <si>
    <t>Status</t>
  </si>
  <si>
    <t>NOT RETRIEVED</t>
  </si>
  <si>
    <t>Indicator</t>
  </si>
  <si>
    <t>Retail trade turnover, volume index (mangdeindeks)</t>
  </si>
  <si>
    <t>Authority</t>
  </si>
  <si>
    <t>Danmarks Statistik (DST1); also available via Eurostat sts_trtu_a</t>
  </si>
  <si>
    <t>Filters required</t>
  </si>
  <si>
    <t>geo=DK; nace_r2=G47; indic_bt=VOL; s_adj=SCA; unit=I21 (2021=100)</t>
  </si>
  <si>
    <t>Why not retrieved</t>
  </si>
  <si>
    <t>Values are published through StatBank and the Eurostat databrowser. This session's network policy blocked direct access to both, and the figure could not be verified by search. A value that cannot be traced is not entered.</t>
  </si>
  <si>
    <t>Base year caution</t>
  </si>
  <si>
    <t>Danmarks Statistik rebased the index from 2015=100 to 2021=100. Series retrieved on different bases must not be joined.</t>
  </si>
  <si>
    <t>Effect on the analysis</t>
  </si>
  <si>
    <t>The e-commerce section rests on the enterprise e-sales evidence instead, which is better sourced. No conclusion in the report depends on this series.</t>
  </si>
  <si>
    <t>To fill</t>
  </si>
  <si>
    <t>Retrieve from statistikbanken.dk, add rows to dataset.py under series_code DK.RET.VOL with unit 'index 2021=100', and re-run build_workbook.py.</t>
  </si>
  <si>
    <t>AI use and validation log</t>
  </si>
  <si>
    <t>Raw material for the AI Use and Validation Appendix, which is submitted separately.</t>
  </si>
  <si>
    <t>step</t>
  </si>
  <si>
    <t>AI assistance used</t>
  </si>
  <si>
    <t>how it was validated</t>
  </si>
  <si>
    <t>outcome</t>
  </si>
  <si>
    <t>Source identification</t>
  </si>
  <si>
    <t>Used to identify candidate statistical sources and dataset codes.</t>
  </si>
  <si>
    <t>Each source opened or search-verified against the issuing authority.</t>
  </si>
  <si>
    <t>Source register in 03_SOURCES.</t>
  </si>
  <si>
    <t>Value retrieval</t>
  </si>
  <si>
    <t>Used to search for published values by authority and indicator.</t>
  </si>
  <si>
    <t>Each value checked against a result reporting the issuing authority's own publication.</t>
  </si>
  <si>
    <t>Every retained observation carries a source_id.</t>
  </si>
  <si>
    <t>Rejection of a prior dataset</t>
  </si>
  <si>
    <t>A candidate dataset produced with AI assistance was reviewed.</t>
  </si>
  <si>
    <t>Cross-checked against Eurostat's published country ranking; the values inverted the true ranking and contained duplicated and interpolated cells.</t>
  </si>
  <si>
    <t>Dataset rejected in full and excluded.</t>
  </si>
  <si>
    <t>Withdrawal of an AI-suggested claim</t>
  </si>
  <si>
    <t>An AI-assisted draft asserted that the SMV:Digital grant scheme was being defunded, and an argument was built on that contrast.</t>
  </si>
  <si>
    <t>Searched for the scheme's funding status. The scheme's own 2026 grant-pool page documents pools still open and a further pool opening 26 October 2026. No source supported the defunding claim.</t>
  </si>
  <si>
    <t>Claim withdrawn from the dataset and the argument; the withdrawal is recorded in 09_POLICY and 07_LIMITATIONS rather than erased.</t>
  </si>
  <si>
    <t>Statistical self-audit</t>
  </si>
  <si>
    <t>Asked to audit its own workbook as a macroeconomic policy reviewer would.</t>
  </si>
  <si>
    <t>The audit found that the adoption column had been assembled from a press release naming only the top three, bottom three and three large movers - a sample drawn from the tails, which inflates R-squared by construction.</t>
  </si>
  <si>
    <t>Selection warning added and the limitation recorded. Later resolved - see the two rows below.</t>
  </si>
  <si>
    <t>Failed verification attempt</t>
  </si>
  <si>
    <t>Asked to retrieve Eurostat isoc_ec_ib20 for 2024 for the twelve member states missing from the scatter, so the tail selection could be removed.</t>
  </si>
  <si>
    <t>Eurostat and the national statistical offices are unreachable from the build environment. Web search returned only the same press release, two country values with no attributable source, and one answer mixing the '% of internet users' and '% of individuals' denominators in one paragraph.</t>
  </si>
  <si>
    <t>No values accepted. Recorded because the honest outcome of a verification attempt is sometimes that it failed.</t>
  </si>
  <si>
    <t>Author-supplied authoritative extract</t>
  </si>
  <si>
    <t>The author retrieved the complete isoc_ec_ib20 table from the Eurostat databrowser and supplied it as a spreadsheet; AI parsed it into the dataset.</t>
  </si>
  <si>
    <t>The extract carries its own provenance header - dataset code, extraction timestamp, last-update date, and an explicit unit. The ten values it overlapped with were compared against the rounded press-release figures already held; all ten agreed to rounding.</t>
  </si>
  <si>
    <t>All 27 member states plus the EU-27 aggregate added under source ES7. The scatter went from n=6 to n=18 and R-squared was restored to the chart face.</t>
  </si>
  <si>
    <t>Workbook construction</t>
  </si>
  <si>
    <t>AI wrote the Python build script that generates this workbook.</t>
  </si>
  <si>
    <t>Structural assertions run at build time - source_ids resolve, units and denominators present, no duplicate observations, every lookup resolves to a real observation or the build fails - and verify_workbook.py re-checks the generated file afterwards.</t>
  </si>
  <si>
    <t>build_workbook.py and verify_workbook.py, both re-runnable.</t>
  </si>
  <si>
    <t>Workbook rebuild</t>
  </si>
  <si>
    <t>The first generated workbook was rebuilt after the author found it unusable. AI diagnosed the defects and wrote the replacement.</t>
  </si>
  <si>
    <t>The defects were measured in the generated file rather than argued: 13 untitled charts, every chart anchored over its own caption, 201 formula cells carrying no cached value, and no print setup on any of 22 sheets. verify_workbook.py now fails the build on each of those conditions.</t>
  </si>
  <si>
    <t>This workbook, version 2.0.</t>
  </si>
  <si>
    <t>Analytical framing</t>
  </si>
  <si>
    <t>Used to interpret patterns and suggest framings.</t>
  </si>
  <si>
    <t>Author reviewed each interpretation against the underlying values.</t>
  </si>
  <si>
    <t>Interpretations appear in the report, attributed to the author.</t>
  </si>
  <si>
    <t>Not delegated to AI</t>
  </si>
  <si>
    <t>Selection of the research question, country, industries, SDG and policy comparator; the argument; the conclusions.</t>
  </si>
  <si>
    <t>n/a</t>
  </si>
  <si>
    <t>Author's own work.</t>
  </si>
  <si>
    <t>This log records assistance during data assembly and workbook construction. Complete it with any further AI use during drafting before submission. The assessment requires that AI-assisted content be verified and acknowledged.</t>
  </si>
</sst>
</file>

<file path=xl/styles.xml><?xml version="1.0" encoding="utf-8"?>
<styleSheet xmlns="http://schemas.openxmlformats.org/spreadsheetml/2006/main">
  <numFmts count="2">
    <numFmt numFmtId="164" formatCode="#,##0;-#,##0;0;@"/>
    <numFmt numFmtId="165" formatCode="#,##0.0;-#,##0.0;0;@"/>
  </numFmts>
  <fonts count="10">
    <font>
      <sz val="11"/>
      <color theme="1"/>
      <name val="Calibri"/>
      <family val="2"/>
      <scheme val="minor"/>
    </font>
    <font>
      <b/>
      <sz val="16"/>
      <color rgb="FF1F3A5F"/>
      <name val="Calibri"/>
      <family val="2"/>
      <scheme val="minor"/>
    </font>
    <font>
      <i/>
      <sz val="11"/>
      <color rgb="FF5A5A5A"/>
      <name val="Calibri"/>
      <family val="2"/>
      <scheme val="minor"/>
    </font>
    <font>
      <b/>
      <sz val="10"/>
      <color rgb="FF1A1A1A"/>
      <name val="Calibri"/>
      <family val="2"/>
      <scheme val="minor"/>
    </font>
    <font>
      <sz val="10"/>
      <color rgb="FF1A1A1A"/>
      <name val="Calibri"/>
      <family val="2"/>
      <scheme val="minor"/>
    </font>
    <font>
      <b/>
      <sz val="11"/>
      <color rgb="FF1F3A5F"/>
      <name val="Calibri"/>
      <family val="2"/>
      <scheme val="minor"/>
    </font>
    <font>
      <sz val="11"/>
      <color rgb="FF1A1A1A"/>
      <name val="Calibri"/>
      <family val="2"/>
      <scheme val="minor"/>
    </font>
    <font>
      <b/>
      <sz val="10"/>
      <color rgb="FFFFFFFF"/>
      <name val="Calibri"/>
      <family val="2"/>
      <scheme val="minor"/>
    </font>
    <font>
      <u/>
      <sz val="10"/>
      <color rgb="FF1155CC"/>
      <name val="Calibri"/>
      <family val="2"/>
      <scheme val="minor"/>
    </font>
    <font>
      <sz val="9"/>
      <color rgb="FF5A5A5A"/>
      <name val="Calibri"/>
      <family val="2"/>
      <scheme val="minor"/>
    </font>
  </fonts>
  <fills count="7">
    <fill>
      <patternFill patternType="none"/>
    </fill>
    <fill>
      <patternFill patternType="gray125"/>
    </fill>
    <fill>
      <patternFill patternType="solid">
        <fgColor rgb="FFFFFFFF"/>
        <bgColor indexed="64"/>
      </patternFill>
    </fill>
    <fill>
      <patternFill patternType="solid">
        <fgColor rgb="FFEAF1F8"/>
        <bgColor indexed="64"/>
      </patternFill>
    </fill>
    <fill>
      <patternFill patternType="solid">
        <fgColor rgb="FFFDF3E3"/>
        <bgColor indexed="64"/>
      </patternFill>
    </fill>
    <fill>
      <patternFill patternType="solid">
        <fgColor rgb="FFF9ECEC"/>
        <bgColor indexed="64"/>
      </patternFill>
    </fill>
    <fill>
      <patternFill patternType="solid">
        <fgColor rgb="FF1F3A5F"/>
        <bgColor indexed="64"/>
      </patternFill>
    </fill>
  </fills>
  <borders count="2">
    <border>
      <left/>
      <right/>
      <top/>
      <bottom/>
      <diagonal/>
    </border>
    <border>
      <left style="thin">
        <color rgb="FFC8C8C8"/>
      </left>
      <right style="thin">
        <color rgb="FFC8C8C8"/>
      </right>
      <top style="thin">
        <color rgb="FFC8C8C8"/>
      </top>
      <bottom style="thin">
        <color rgb="FFC8C8C8"/>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3" fillId="0" borderId="0" xfId="0" applyFont="1" applyAlignment="1">
      <alignment vertical="top"/>
    </xf>
    <xf numFmtId="0" fontId="4" fillId="0" borderId="0" xfId="0" applyFont="1" applyAlignment="1">
      <alignment vertical="top"/>
    </xf>
    <xf numFmtId="164" fontId="4" fillId="0" borderId="0" xfId="0" applyNumberFormat="1" applyFont="1"/>
    <xf numFmtId="0" fontId="5" fillId="0" borderId="0" xfId="0" applyFont="1"/>
    <xf numFmtId="0" fontId="6" fillId="0" borderId="0" xfId="0" applyFont="1" applyAlignment="1">
      <alignment vertical="top" wrapText="1"/>
    </xf>
    <xf numFmtId="0" fontId="0" fillId="2" borderId="1" xfId="0" applyFill="1" applyBorder="1"/>
    <xf numFmtId="0" fontId="6" fillId="0" borderId="0" xfId="0" applyFont="1" applyAlignment="1">
      <alignment vertical="top"/>
    </xf>
    <xf numFmtId="0" fontId="0" fillId="3" borderId="1" xfId="0" applyFill="1" applyBorder="1"/>
    <xf numFmtId="0" fontId="0" fillId="4" borderId="1" xfId="0" applyFill="1" applyBorder="1"/>
    <xf numFmtId="0" fontId="0" fillId="5" borderId="1" xfId="0" applyFill="1" applyBorder="1"/>
    <xf numFmtId="0" fontId="7" fillId="6" borderId="0" xfId="0" applyFont="1" applyFill="1" applyAlignment="1">
      <alignment wrapText="1"/>
    </xf>
    <xf numFmtId="0" fontId="4" fillId="0" borderId="0" xfId="0" applyFont="1" applyAlignment="1">
      <alignment vertical="top" wrapText="1"/>
    </xf>
    <xf numFmtId="1" fontId="4" fillId="0" borderId="0" xfId="0" applyNumberFormat="1" applyFont="1" applyAlignment="1">
      <alignment horizontal="center"/>
    </xf>
    <xf numFmtId="165" fontId="4" fillId="0" borderId="0" xfId="0" applyNumberFormat="1" applyFont="1"/>
    <xf numFmtId="165" fontId="4" fillId="4" borderId="0" xfId="0" applyNumberFormat="1" applyFont="1" applyFill="1"/>
    <xf numFmtId="0" fontId="8" fillId="0" borderId="0" xfId="0" applyFont="1" applyAlignment="1">
      <alignment vertical="top"/>
    </xf>
    <xf numFmtId="164" fontId="4" fillId="3" borderId="0" xfId="0" applyNumberFormat="1" applyFont="1" applyFill="1"/>
    <xf numFmtId="165" fontId="4" fillId="3" borderId="0" xfId="0" applyNumberFormat="1" applyFont="1" applyFill="1"/>
    <xf numFmtId="0" fontId="9" fillId="0" borderId="0" xfId="0" applyFont="1" applyAlignment="1">
      <alignment vertical="top" wrapText="1"/>
    </xf>
    <xf numFmtId="0" fontId="4" fillId="5" borderId="0" xfId="0" applyFont="1" applyFill="1" applyAlignment="1">
      <alignment vertical="top" wrapText="1"/>
    </xf>
    <xf numFmtId="0" fontId="3" fillId="0" borderId="0" xfId="0" applyFont="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F3A5F"/>
                </a:solidFill>
                <a:latin typeface="Calibri"/>
              </a:defRPr>
            </a:pPr>
            <a:r>
              <a:rPr lang="en-US" sz="1200" b="1" baseline="0">
                <a:solidFill>
                  <a:srgbClr val="1F3A5F"/>
                </a:solidFill>
                <a:latin typeface="Calibri"/>
              </a:rPr>
              <a:t>Cash gave up 14 points of retail payments in eight years
Share of the number of physical-retail payments, Denmark</a:t>
            </a:r>
          </a:p>
        </c:rich>
      </c:tx>
      <c:layout/>
    </c:title>
    <c:plotArea>
      <c:layout/>
      <c:barChart>
        <c:barDir val="col"/>
        <c:grouping val="clustered"/>
        <c:ser>
          <c:idx val="0"/>
          <c:order val="0"/>
          <c:tx>
            <c:v>Cash</c:v>
          </c:tx>
          <c:spPr>
            <a:solidFill>
              <a:srgbClr val="2A78D6"/>
            </a:solidFill>
            <a:ln>
              <a:noFill/>
            </a:ln>
          </c:spPr>
          <c:dLbls>
            <c:numFmt formatCode="0&quot;%&quot;" sourceLinked="0"/>
            <c:txPr>
              <a:bodyPr/>
              <a:lstStyle/>
              <a:p>
                <a:pPr>
                  <a:defRPr sz="900" baseline="0">
                    <a:solidFill>
                      <a:srgbClr val="52514E"/>
                    </a:solidFill>
                    <a:latin typeface="Calibri"/>
                  </a:defRPr>
                </a:pPr>
                <a:endParaRPr lang="en-US"/>
              </a:p>
            </c:txPr>
            <c:showVal val="1"/>
          </c:dLbls>
          <c:cat>
            <c:numRef>
              <c:f>F2_PAYMENTS!$B$4:$C$4</c:f>
              <c:numCache>
                <c:formatCode>General</c:formatCode>
                <c:ptCount val="2"/>
                <c:pt idx="0">
                  <c:v>2017</c:v>
                </c:pt>
                <c:pt idx="1">
                  <c:v>2025</c:v>
                </c:pt>
              </c:numCache>
            </c:numRef>
          </c:cat>
          <c:val>
            <c:numRef>
              <c:f>F2_PAYMENTS!$B$5:$C$5</c:f>
              <c:numCache>
                <c:formatCode>General</c:formatCode>
                <c:ptCount val="2"/>
                <c:pt idx="0">
                  <c:v>23.0</c:v>
                </c:pt>
                <c:pt idx="1">
                  <c:v>9.0</c:v>
                </c:pt>
              </c:numCache>
            </c:numRef>
          </c:val>
        </c:ser>
        <c:ser>
          <c:idx val="1"/>
          <c:order val="1"/>
          <c:tx>
            <c:v>Physical payment card</c:v>
          </c:tx>
          <c:spPr>
            <a:solidFill>
              <a:srgbClr val="EB6834"/>
            </a:solidFill>
            <a:ln>
              <a:noFill/>
            </a:ln>
          </c:spPr>
          <c:dLbls>
            <c:numFmt formatCode="0&quot;%&quot;" sourceLinked="0"/>
            <c:txPr>
              <a:bodyPr/>
              <a:lstStyle/>
              <a:p>
                <a:pPr>
                  <a:defRPr sz="900" baseline="0">
                    <a:solidFill>
                      <a:srgbClr val="52514E"/>
                    </a:solidFill>
                    <a:latin typeface="Calibri"/>
                  </a:defRPr>
                </a:pPr>
                <a:endParaRPr lang="en-US"/>
              </a:p>
            </c:txPr>
            <c:showVal val="1"/>
          </c:dLbls>
          <c:cat>
            <c:numRef>
              <c:f>F2_PAYMENTS!$B$4:$C$4</c:f>
              <c:numCache>
                <c:formatCode>General</c:formatCode>
                <c:ptCount val="2"/>
                <c:pt idx="0">
                  <c:v>2017</c:v>
                </c:pt>
                <c:pt idx="1">
                  <c:v>2025</c:v>
                </c:pt>
              </c:numCache>
            </c:numRef>
          </c:cat>
          <c:val>
            <c:numRef>
              <c:f>F2_PAYMENTS!$B$6:$C$6</c:f>
              <c:numCache>
                <c:formatCode>General</c:formatCode>
                <c:ptCount val="2"/>
                <c:pt idx="0">
                  <c:v>73.0</c:v>
                </c:pt>
                <c:pt idx="1">
                  <c:v>54.0</c:v>
                </c:pt>
              </c:numCache>
            </c:numRef>
          </c:val>
        </c:ser>
        <c:ser>
          <c:idx val="2"/>
          <c:order val="2"/>
          <c:tx>
            <c:v>Mobile wallet</c:v>
          </c:tx>
          <c:spPr>
            <a:solidFill>
              <a:srgbClr val="1BAF7A"/>
            </a:solidFill>
            <a:ln>
              <a:noFill/>
            </a:ln>
          </c:spPr>
          <c:dLbls>
            <c:numFmt formatCode="0&quot;%&quot;" sourceLinked="0"/>
            <c:txPr>
              <a:bodyPr/>
              <a:lstStyle/>
              <a:p>
                <a:pPr>
                  <a:defRPr sz="900" baseline="0">
                    <a:solidFill>
                      <a:srgbClr val="52514E"/>
                    </a:solidFill>
                    <a:latin typeface="Calibri"/>
                  </a:defRPr>
                </a:pPr>
                <a:endParaRPr lang="en-US"/>
              </a:p>
            </c:txPr>
            <c:showVal val="1"/>
          </c:dLbls>
          <c:cat>
            <c:numRef>
              <c:f>F2_PAYMENTS!$B$4:$C$4</c:f>
              <c:numCache>
                <c:formatCode>General</c:formatCode>
                <c:ptCount val="2"/>
                <c:pt idx="0">
                  <c:v>2017</c:v>
                </c:pt>
                <c:pt idx="1">
                  <c:v>2025</c:v>
                </c:pt>
              </c:numCache>
            </c:numRef>
          </c:cat>
          <c:val>
            <c:numRef>
              <c:f>F2_PAYMENTS!$B$7:$C$7</c:f>
              <c:numCache>
                <c:formatCode>General</c:formatCode>
                <c:ptCount val="2"/>
                <c:pt idx="0">
                  <c:v>0</c:v>
                </c:pt>
                <c:pt idx="1">
                  <c:v>32.0</c:v>
                </c:pt>
              </c:numCache>
            </c:numRef>
          </c:val>
        </c:ser>
        <c:gapWidth val="60"/>
        <c:axId val="50010001"/>
        <c:axId val="50010002"/>
      </c:barChart>
      <c:catAx>
        <c:axId val="50010001"/>
        <c:scaling>
          <c:orientation val="minMax"/>
        </c:scaling>
        <c:axPos val="b"/>
        <c:title>
          <c:tx>
            <c:rich>
              <a:bodyPr/>
              <a:lstStyle/>
              <a:p>
                <a:pPr>
                  <a:defRPr sz="1000" baseline="0">
                    <a:solidFill>
                      <a:srgbClr val="52514E"/>
                    </a:solidFill>
                    <a:latin typeface="Calibri"/>
                  </a:defRPr>
                </a:pPr>
                <a:r>
                  <a:rPr lang="en-US" sz="1000" baseline="0">
                    <a:solidFill>
                      <a:srgbClr val="52514E"/>
                    </a:solidFill>
                    <a:latin typeface="Calibri"/>
                  </a:rPr>
                  <a:t>Year</a:t>
                </a:r>
              </a:p>
            </c:rich>
          </c:tx>
          <c:layout/>
        </c:title>
        <c:numFmt formatCode="General" sourceLinked="1"/>
        <c:majorTickMark val="none"/>
        <c:minorTickMark val="none"/>
        <c:tickLblPos val="low"/>
        <c:spPr>
          <a:ln>
            <a:solidFill>
              <a:srgbClr val="D9D9D9"/>
            </a:solidFill>
          </a:ln>
        </c:spPr>
        <c:txPr>
          <a:bodyPr/>
          <a:lstStyle/>
          <a:p>
            <a:pPr>
              <a:defRPr sz="900" baseline="0">
                <a:solidFill>
                  <a:srgbClr val="52514E"/>
                </a:solidFill>
                <a:latin typeface="Calibri"/>
              </a:defRPr>
            </a:pPr>
            <a:endParaRPr lang="en-US"/>
          </a:p>
        </c:txPr>
        <c:crossAx val="50010002"/>
        <c:crosses val="autoZero"/>
        <c:auto val="1"/>
        <c:lblAlgn val="ctr"/>
        <c:lblOffset val="100"/>
      </c:catAx>
      <c:valAx>
        <c:axId val="50010002"/>
        <c:scaling>
          <c:orientation val="minMax"/>
          <c:max val="80"/>
          <c:min val="0"/>
        </c:scaling>
        <c:axPos val="l"/>
        <c:majorGridlines>
          <c:spPr>
            <a:ln w="9525">
              <a:solidFill>
                <a:srgbClr val="D9D9D9"/>
              </a:solidFill>
            </a:ln>
          </c:spPr>
        </c:majorGridlines>
        <c:title>
          <c:tx>
            <c:rich>
              <a:bodyPr/>
              <a:lstStyle/>
              <a:p>
                <a:pPr>
                  <a:defRPr sz="1000" baseline="0">
                    <a:solidFill>
                      <a:srgbClr val="52514E"/>
                    </a:solidFill>
                    <a:latin typeface="Calibri"/>
                  </a:defRPr>
                </a:pPr>
                <a:r>
                  <a:rPr lang="en-US" sz="1000" baseline="0">
                    <a:solidFill>
                      <a:srgbClr val="52514E"/>
                    </a:solidFill>
                    <a:latin typeface="Calibri"/>
                  </a:rPr>
                  <a:t>% of the number of payments</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10001"/>
        <c:crosses val="autoZero"/>
        <c:crossBetween val="between"/>
      </c:valAx>
      <c:spPr>
        <a:noFill/>
        <a:ln>
          <a:noFill/>
        </a:ln>
      </c:spPr>
    </c:plotArea>
    <c:legend>
      <c:legendPos val="b"/>
      <c:layout/>
      <c:txPr>
        <a:bodyPr/>
        <a:lstStyle/>
        <a:p>
          <a:pPr>
            <a:defRPr sz="900" baseline="0">
              <a:solidFill>
                <a:srgbClr val="52514E"/>
              </a:solidFill>
              <a:latin typeface="Calibri"/>
            </a:defRPr>
          </a:pPr>
          <a:endParaRPr lang="en-US"/>
        </a:p>
      </c:txPr>
      <c:spPr>
        <a:ln>
          <a:noFill/>
        </a:ln>
      </c:spPr>
    </c:legend>
    <c:plotVisOnly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F3A5F"/>
                </a:solidFill>
                <a:latin typeface="Calibri"/>
              </a:defRPr>
            </a:pPr>
            <a:r>
              <a:rPr lang="en-US" sz="1200" b="1" baseline="0">
                <a:solidFill>
                  <a:srgbClr val="1F3A5F"/>
                </a:solidFill>
                <a:latin typeface="Calibri"/>
              </a:rPr>
              <a:t>Exclusion is four to five times wider than exemption
Denmark, % of the stated population base</a:t>
            </a:r>
          </a:p>
        </c:rich>
      </c:tx>
      <c:layout/>
    </c:title>
    <c:plotArea>
      <c:layout/>
      <c:barChart>
        <c:barDir val="bar"/>
        <c:grouping val="clustered"/>
        <c:ser>
          <c:idx val="0"/>
          <c:order val="0"/>
          <c:tx>
            <c:v>Share of population</c:v>
          </c:tx>
          <c:spPr>
            <a:solidFill>
              <a:srgbClr val="2A78D6"/>
            </a:solidFill>
            <a:ln>
              <a:noFill/>
            </a:ln>
          </c:spPr>
          <c:dPt>
            <c:idx val="0"/>
            <c:spPr>
              <a:solidFill>
                <a:srgbClr val="2A78D6"/>
              </a:solidFill>
            </c:spPr>
          </c:dPt>
          <c:dPt>
            <c:idx val="1"/>
            <c:spPr>
              <a:solidFill>
                <a:srgbClr val="2A78D6"/>
              </a:solidFill>
            </c:spPr>
          </c:dPt>
          <c:dPt>
            <c:idx val="2"/>
            <c:spPr>
              <a:solidFill>
                <a:srgbClr val="2A78D6"/>
              </a:solidFill>
            </c:spPr>
          </c:dPt>
          <c:dPt>
            <c:idx val="3"/>
            <c:spPr>
              <a:solidFill>
                <a:srgbClr val="9FC3EC"/>
              </a:solidFill>
            </c:spPr>
          </c:dPt>
          <c:dPt>
            <c:idx val="4"/>
            <c:spPr>
              <a:solidFill>
                <a:srgbClr val="9FC3EC"/>
              </a:solidFill>
            </c:spPr>
          </c:dPt>
          <c:dPt>
            <c:idx val="5"/>
            <c:spPr>
              <a:solidFill>
                <a:srgbClr val="9FC3EC"/>
              </a:solidFill>
            </c:spPr>
          </c:dPt>
          <c:dLbls>
            <c:numFmt formatCode="0.0&quot;%&quot;" sourceLinked="0"/>
            <c:txPr>
              <a:bodyPr/>
              <a:lstStyle/>
              <a:p>
                <a:pPr>
                  <a:defRPr sz="900" baseline="0">
                    <a:solidFill>
                      <a:srgbClr val="52514E"/>
                    </a:solidFill>
                    <a:latin typeface="Calibri"/>
                  </a:defRPr>
                </a:pPr>
                <a:endParaRPr lang="en-US"/>
              </a:p>
            </c:txPr>
            <c:showVal val="1"/>
          </c:dLbls>
          <c:cat>
            <c:strRef>
              <c:f>F4_EXCLUSION!$A$5:$A$10</c:f>
              <c:strCache>
                <c:ptCount val="6"/>
                <c:pt idx="0">
                  <c:v>Formally exempt from Digital Post</c:v>
                </c:pt>
                <c:pt idx="1">
                  <c:v>Do not use digital public services</c:v>
                </c:pt>
                <c:pt idx="2">
                  <c:v>Face difficulty using digital public services</c:v>
                </c:pt>
                <c:pt idx="3">
                  <c:v>'Digitally disadvantaged', lower bound</c:v>
                </c:pt>
                <c:pt idx="4">
                  <c:v>'Digitally disadvantaged', upper bound</c:v>
                </c:pt>
                <c:pt idx="5">
                  <c:v>'Digitally disadvantaged', broadest definition</c:v>
                </c:pt>
              </c:strCache>
            </c:strRef>
          </c:cat>
          <c:val>
            <c:numRef>
              <c:f>F4_EXCLUSION!$B$5:$B$10</c:f>
              <c:numCache>
                <c:formatCode>General</c:formatCode>
                <c:ptCount val="6"/>
                <c:pt idx="0">
                  <c:v>4.7</c:v>
                </c:pt>
                <c:pt idx="1">
                  <c:v>6.5</c:v>
                </c:pt>
                <c:pt idx="2">
                  <c:v>16.5</c:v>
                </c:pt>
                <c:pt idx="3">
                  <c:v>17.0</c:v>
                </c:pt>
                <c:pt idx="4">
                  <c:v>22.0</c:v>
                </c:pt>
                <c:pt idx="5">
                  <c:v>25.0</c:v>
                </c:pt>
              </c:numCache>
            </c:numRef>
          </c:val>
        </c:ser>
        <c:gapWidth val="50"/>
        <c:axId val="50020001"/>
        <c:axId val="50020002"/>
      </c:barChart>
      <c:catAx>
        <c:axId val="50020001"/>
        <c:scaling>
          <c:orientation val="minMax"/>
        </c:scaling>
        <c:axPos val="l"/>
        <c:title>
          <c:tx>
            <c:rich>
              <a:bodyPr rot="-5400000" vert="horz"/>
              <a:lstStyle/>
              <a:p>
                <a:pPr>
                  <a:defRPr sz="1000" baseline="0">
                    <a:solidFill>
                      <a:srgbClr val="52514E"/>
                    </a:solidFill>
                    <a:latin typeface="Calibri"/>
                  </a:defRPr>
                </a:pPr>
                <a:r>
                  <a:rPr lang="en-US" sz="1000" baseline="0">
                    <a:solidFill>
                      <a:srgbClr val="52514E"/>
                    </a:solidFill>
                    <a:latin typeface="Calibri"/>
                  </a:rPr>
                  <a:t>Measure</a:t>
                </a:r>
              </a:p>
            </c:rich>
          </c:tx>
          <c:layout/>
        </c:title>
        <c:majorTickMark val="none"/>
        <c:minorTickMark val="none"/>
        <c:tickLblPos val="low"/>
        <c:spPr>
          <a:ln>
            <a:solidFill>
              <a:srgbClr val="D9D9D9"/>
            </a:solidFill>
          </a:ln>
        </c:spPr>
        <c:txPr>
          <a:bodyPr/>
          <a:lstStyle/>
          <a:p>
            <a:pPr>
              <a:defRPr sz="900" baseline="0">
                <a:solidFill>
                  <a:srgbClr val="52514E"/>
                </a:solidFill>
                <a:latin typeface="Calibri"/>
              </a:defRPr>
            </a:pPr>
            <a:endParaRPr lang="en-US"/>
          </a:p>
        </c:txPr>
        <c:crossAx val="50020002"/>
        <c:crosses val="autoZero"/>
        <c:auto val="1"/>
        <c:lblAlgn val="ctr"/>
        <c:lblOffset val="100"/>
      </c:catAx>
      <c:valAx>
        <c:axId val="50020002"/>
        <c:scaling>
          <c:orientation val="minMax"/>
          <c:max val="28"/>
          <c:min val="0"/>
        </c:scaling>
        <c:axPos val="b"/>
        <c:majorGridlines>
          <c:spPr>
            <a:ln w="9525">
              <a:solidFill>
                <a:srgbClr val="D9D9D9"/>
              </a:solidFill>
            </a:ln>
          </c:spPr>
        </c:majorGridlines>
        <c:title>
          <c:tx>
            <c:rich>
              <a:bodyPr/>
              <a:lstStyle/>
              <a:p>
                <a:pPr>
                  <a:defRPr sz="1000" baseline="0">
                    <a:solidFill>
                      <a:srgbClr val="52514E"/>
                    </a:solidFill>
                    <a:latin typeface="Calibri"/>
                  </a:defRPr>
                </a:pPr>
                <a:r>
                  <a:rPr lang="en-US" sz="1000" baseline="0">
                    <a:solidFill>
                      <a:srgbClr val="52514E"/>
                    </a:solidFill>
                    <a:latin typeface="Calibri"/>
                  </a:rPr>
                  <a:t>% of the stated population base</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2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F3A5F"/>
                </a:solidFill>
                <a:latin typeface="Calibri"/>
              </a:defRPr>
            </a:pPr>
            <a:r>
              <a:rPr lang="en-US" sz="1200" b="1" baseline="0">
                <a:solidFill>
                  <a:srgbClr val="1F3A5F"/>
                </a:solidFill>
                <a:latin typeface="Calibri"/>
              </a:rPr>
              <a:t>Denmark ranks 3 of 27 on online purchasing
% of internet users who bought online, 2024</a:t>
            </a:r>
          </a:p>
        </c:rich>
      </c:tx>
      <c:layout/>
    </c:title>
    <c:plotArea>
      <c:layout/>
      <c:barChart>
        <c:barDir val="col"/>
        <c:grouping val="clustered"/>
        <c:ser>
          <c:idx val="0"/>
          <c:order val="0"/>
          <c:tx>
            <c:v>Bought online</c:v>
          </c:tx>
          <c:spPr>
            <a:solidFill>
              <a:srgbClr val="8F8F8F"/>
            </a:solidFill>
            <a:ln>
              <a:noFill/>
            </a:ln>
          </c:spPr>
          <c:dPt>
            <c:idx val="0"/>
            <c:spPr>
              <a:solidFill>
                <a:srgbClr val="8F8F8F"/>
              </a:solidFill>
            </c:spPr>
          </c:dPt>
          <c:dPt>
            <c:idx val="1"/>
            <c:spPr>
              <a:solidFill>
                <a:srgbClr val="8F8F8F"/>
              </a:solidFill>
            </c:spPr>
          </c:dPt>
          <c:dPt>
            <c:idx val="2"/>
            <c:spPr>
              <a:solidFill>
                <a:srgbClr val="2A78D6"/>
              </a:solidFill>
            </c:spPr>
          </c:dPt>
          <c:dPt>
            <c:idx val="3"/>
            <c:spPr>
              <a:solidFill>
                <a:srgbClr val="8F8F8F"/>
              </a:solidFill>
            </c:spPr>
          </c:dPt>
          <c:dPt>
            <c:idx val="4"/>
            <c:spPr>
              <a:solidFill>
                <a:srgbClr val="8F8F8F"/>
              </a:solidFill>
            </c:spPr>
          </c:dPt>
          <c:dPt>
            <c:idx val="5"/>
            <c:spPr>
              <a:solidFill>
                <a:srgbClr val="8F8F8F"/>
              </a:solidFill>
            </c:spPr>
          </c:dPt>
          <c:dPt>
            <c:idx val="6"/>
            <c:spPr>
              <a:solidFill>
                <a:srgbClr val="8F8F8F"/>
              </a:solidFill>
            </c:spPr>
          </c:dPt>
          <c:dPt>
            <c:idx val="7"/>
            <c:spPr>
              <a:solidFill>
                <a:srgbClr val="8F8F8F"/>
              </a:solidFill>
            </c:spPr>
          </c:dPt>
          <c:dPt>
            <c:idx val="8"/>
            <c:spPr>
              <a:solidFill>
                <a:srgbClr val="8F8F8F"/>
              </a:solidFill>
            </c:spPr>
          </c:dPt>
          <c:dPt>
            <c:idx val="9"/>
            <c:spPr>
              <a:solidFill>
                <a:srgbClr val="8F8F8F"/>
              </a:solidFill>
            </c:spPr>
          </c:dPt>
          <c:dPt>
            <c:idx val="10"/>
            <c:spPr>
              <a:solidFill>
                <a:srgbClr val="8F8F8F"/>
              </a:solidFill>
            </c:spPr>
          </c:dPt>
          <c:dPt>
            <c:idx val="11"/>
            <c:spPr>
              <a:solidFill>
                <a:srgbClr val="8F8F8F"/>
              </a:solidFill>
            </c:spPr>
          </c:dPt>
          <c:dPt>
            <c:idx val="12"/>
            <c:spPr>
              <a:solidFill>
                <a:srgbClr val="8F8F8F"/>
              </a:solidFill>
            </c:spPr>
          </c:dPt>
          <c:dPt>
            <c:idx val="13"/>
            <c:spPr>
              <a:solidFill>
                <a:srgbClr val="8F8F8F"/>
              </a:solidFill>
            </c:spPr>
          </c:dPt>
          <c:dPt>
            <c:idx val="14"/>
            <c:spPr>
              <a:solidFill>
                <a:srgbClr val="8F8F8F"/>
              </a:solidFill>
            </c:spPr>
          </c:dPt>
          <c:dPt>
            <c:idx val="15"/>
            <c:spPr>
              <a:solidFill>
                <a:srgbClr val="8F8F8F"/>
              </a:solidFill>
            </c:spPr>
          </c:dPt>
          <c:dPt>
            <c:idx val="16"/>
            <c:spPr>
              <a:solidFill>
                <a:srgbClr val="8F8F8F"/>
              </a:solidFill>
            </c:spPr>
          </c:dPt>
          <c:dPt>
            <c:idx val="17"/>
            <c:spPr>
              <a:solidFill>
                <a:srgbClr val="8F8F8F"/>
              </a:solidFill>
            </c:spPr>
          </c:dPt>
          <c:dPt>
            <c:idx val="18"/>
            <c:spPr>
              <a:solidFill>
                <a:srgbClr val="8F8F8F"/>
              </a:solidFill>
            </c:spPr>
          </c:dPt>
          <c:dPt>
            <c:idx val="19"/>
            <c:spPr>
              <a:solidFill>
                <a:srgbClr val="8F8F8F"/>
              </a:solidFill>
            </c:spPr>
          </c:dPt>
          <c:dPt>
            <c:idx val="20"/>
            <c:spPr>
              <a:solidFill>
                <a:srgbClr val="8F8F8F"/>
              </a:solidFill>
            </c:spPr>
          </c:dPt>
          <c:dPt>
            <c:idx val="21"/>
            <c:spPr>
              <a:solidFill>
                <a:srgbClr val="8F8F8F"/>
              </a:solidFill>
            </c:spPr>
          </c:dPt>
          <c:dPt>
            <c:idx val="22"/>
            <c:spPr>
              <a:solidFill>
                <a:srgbClr val="8F8F8F"/>
              </a:solidFill>
            </c:spPr>
          </c:dPt>
          <c:dPt>
            <c:idx val="23"/>
            <c:spPr>
              <a:solidFill>
                <a:srgbClr val="8F8F8F"/>
              </a:solidFill>
            </c:spPr>
          </c:dPt>
          <c:dPt>
            <c:idx val="24"/>
            <c:spPr>
              <a:solidFill>
                <a:srgbClr val="8F8F8F"/>
              </a:solidFill>
            </c:spPr>
          </c:dPt>
          <c:dPt>
            <c:idx val="25"/>
            <c:spPr>
              <a:solidFill>
                <a:srgbClr val="8F8F8F"/>
              </a:solidFill>
            </c:spPr>
          </c:dPt>
          <c:dPt>
            <c:idx val="26"/>
            <c:spPr>
              <a:solidFill>
                <a:srgbClr val="8F8F8F"/>
              </a:solidFill>
            </c:spPr>
          </c:dPt>
          <c:cat>
            <c:strRef>
              <c:f>F5_EU27!$A$5:$A$31</c:f>
              <c:strCache>
                <c:ptCount val="27"/>
                <c:pt idx="0">
                  <c:v>IE</c:v>
                </c:pt>
                <c:pt idx="1">
                  <c:v>NL</c:v>
                </c:pt>
                <c:pt idx="2">
                  <c:v>DK</c:v>
                </c:pt>
                <c:pt idx="3">
                  <c:v>SE</c:v>
                </c:pt>
                <c:pt idx="4">
                  <c:v>CZ</c:v>
                </c:pt>
                <c:pt idx="5">
                  <c:v>SK</c:v>
                </c:pt>
                <c:pt idx="6">
                  <c:v>FR</c:v>
                </c:pt>
                <c:pt idx="7">
                  <c:v>DE</c:v>
                </c:pt>
                <c:pt idx="8">
                  <c:v>LU</c:v>
                </c:pt>
                <c:pt idx="9">
                  <c:v>FI</c:v>
                </c:pt>
                <c:pt idx="10">
                  <c:v>BE</c:v>
                </c:pt>
                <c:pt idx="11">
                  <c:v>HU</c:v>
                </c:pt>
                <c:pt idx="12">
                  <c:v>EE</c:v>
                </c:pt>
                <c:pt idx="13">
                  <c:v>PL</c:v>
                </c:pt>
                <c:pt idx="14">
                  <c:v>EL</c:v>
                </c:pt>
                <c:pt idx="15">
                  <c:v>AT</c:v>
                </c:pt>
                <c:pt idx="16">
                  <c:v>MT</c:v>
                </c:pt>
                <c:pt idx="17">
                  <c:v>SI</c:v>
                </c:pt>
                <c:pt idx="18">
                  <c:v>LT</c:v>
                </c:pt>
                <c:pt idx="19">
                  <c:v>ES</c:v>
                </c:pt>
                <c:pt idx="20">
                  <c:v>HR</c:v>
                </c:pt>
                <c:pt idx="21">
                  <c:v>LV</c:v>
                </c:pt>
                <c:pt idx="22">
                  <c:v>CY</c:v>
                </c:pt>
                <c:pt idx="23">
                  <c:v>PT</c:v>
                </c:pt>
                <c:pt idx="24">
                  <c:v>RO</c:v>
                </c:pt>
                <c:pt idx="25">
                  <c:v>IT</c:v>
                </c:pt>
                <c:pt idx="26">
                  <c:v>BG</c:v>
                </c:pt>
              </c:strCache>
            </c:strRef>
          </c:cat>
          <c:val>
            <c:numRef>
              <c:f>F5_EU27!$C$5:$C$31</c:f>
              <c:numCache>
                <c:formatCode>General</c:formatCode>
                <c:ptCount val="27"/>
                <c:pt idx="0">
                  <c:v>95.79</c:v>
                </c:pt>
                <c:pt idx="1">
                  <c:v>94.42</c:v>
                </c:pt>
                <c:pt idx="2">
                  <c:v>90.86</c:v>
                </c:pt>
                <c:pt idx="3">
                  <c:v>89.89</c:v>
                </c:pt>
                <c:pt idx="4">
                  <c:v>86.21</c:v>
                </c:pt>
                <c:pt idx="5">
                  <c:v>85.13</c:v>
                </c:pt>
                <c:pt idx="6">
                  <c:v>84.37</c:v>
                </c:pt>
                <c:pt idx="7">
                  <c:v>82.53</c:v>
                </c:pt>
                <c:pt idx="8">
                  <c:v>81.34</c:v>
                </c:pt>
                <c:pt idx="9">
                  <c:v>80.4</c:v>
                </c:pt>
                <c:pt idx="10">
                  <c:v>78.98</c:v>
                </c:pt>
                <c:pt idx="11">
                  <c:v>78.87</c:v>
                </c:pt>
                <c:pt idx="12">
                  <c:v>78.72</c:v>
                </c:pt>
                <c:pt idx="13">
                  <c:v>75.07</c:v>
                </c:pt>
                <c:pt idx="14">
                  <c:v>74.66</c:v>
                </c:pt>
                <c:pt idx="15">
                  <c:v>74.18</c:v>
                </c:pt>
                <c:pt idx="16">
                  <c:v>73.2</c:v>
                </c:pt>
                <c:pt idx="17">
                  <c:v>72.39</c:v>
                </c:pt>
                <c:pt idx="18">
                  <c:v>71.96</c:v>
                </c:pt>
                <c:pt idx="19">
                  <c:v>71.54</c:v>
                </c:pt>
                <c:pt idx="20">
                  <c:v>70.07</c:v>
                </c:pt>
                <c:pt idx="21">
                  <c:v>69.35</c:v>
                </c:pt>
                <c:pt idx="22">
                  <c:v>68.16</c:v>
                </c:pt>
                <c:pt idx="23">
                  <c:v>66.64</c:v>
                </c:pt>
                <c:pt idx="24">
                  <c:v>59.73</c:v>
                </c:pt>
                <c:pt idx="25">
                  <c:v>59.6</c:v>
                </c:pt>
                <c:pt idx="26">
                  <c:v>57.18</c:v>
                </c:pt>
              </c:numCache>
            </c:numRef>
          </c:val>
        </c:ser>
        <c:gapWidth val="30"/>
        <c:axId val="50030001"/>
        <c:axId val="50030002"/>
      </c:barChart>
      <c:lineChart>
        <c:grouping val="standard"/>
        <c:ser>
          <c:idx val="1"/>
          <c:order val="1"/>
          <c:tx>
            <c:v>EU-27 average</c:v>
          </c:tx>
          <c:spPr>
            <a:ln w="15875">
              <a:solidFill>
                <a:srgbClr val="1F3A5F"/>
              </a:solidFill>
              <a:prstDash val="dash"/>
            </a:ln>
          </c:spPr>
          <c:marker>
            <c:symbol val="none"/>
          </c:marker>
          <c:cat>
            <c:strRef>
              <c:f>F5_EU27!$A$5:$A$31</c:f>
              <c:strCache>
                <c:ptCount val="27"/>
                <c:pt idx="0">
                  <c:v>IE</c:v>
                </c:pt>
                <c:pt idx="1">
                  <c:v>NL</c:v>
                </c:pt>
                <c:pt idx="2">
                  <c:v>DK</c:v>
                </c:pt>
                <c:pt idx="3">
                  <c:v>SE</c:v>
                </c:pt>
                <c:pt idx="4">
                  <c:v>CZ</c:v>
                </c:pt>
                <c:pt idx="5">
                  <c:v>SK</c:v>
                </c:pt>
                <c:pt idx="6">
                  <c:v>FR</c:v>
                </c:pt>
                <c:pt idx="7">
                  <c:v>DE</c:v>
                </c:pt>
                <c:pt idx="8">
                  <c:v>LU</c:v>
                </c:pt>
                <c:pt idx="9">
                  <c:v>FI</c:v>
                </c:pt>
                <c:pt idx="10">
                  <c:v>BE</c:v>
                </c:pt>
                <c:pt idx="11">
                  <c:v>HU</c:v>
                </c:pt>
                <c:pt idx="12">
                  <c:v>EE</c:v>
                </c:pt>
                <c:pt idx="13">
                  <c:v>PL</c:v>
                </c:pt>
                <c:pt idx="14">
                  <c:v>EL</c:v>
                </c:pt>
                <c:pt idx="15">
                  <c:v>AT</c:v>
                </c:pt>
                <c:pt idx="16">
                  <c:v>MT</c:v>
                </c:pt>
                <c:pt idx="17">
                  <c:v>SI</c:v>
                </c:pt>
                <c:pt idx="18">
                  <c:v>LT</c:v>
                </c:pt>
                <c:pt idx="19">
                  <c:v>ES</c:v>
                </c:pt>
                <c:pt idx="20">
                  <c:v>HR</c:v>
                </c:pt>
                <c:pt idx="21">
                  <c:v>LV</c:v>
                </c:pt>
                <c:pt idx="22">
                  <c:v>CY</c:v>
                </c:pt>
                <c:pt idx="23">
                  <c:v>PT</c:v>
                </c:pt>
                <c:pt idx="24">
                  <c:v>RO</c:v>
                </c:pt>
                <c:pt idx="25">
                  <c:v>IT</c:v>
                </c:pt>
                <c:pt idx="26">
                  <c:v>BG</c:v>
                </c:pt>
              </c:strCache>
            </c:strRef>
          </c:cat>
          <c:val>
            <c:numRef>
              <c:f>F5_EU27!$E$5:$E$31</c:f>
              <c:numCache>
                <c:formatCode>General</c:formatCode>
                <c:ptCount val="27"/>
                <c:pt idx="0">
                  <c:v>76.58</c:v>
                </c:pt>
                <c:pt idx="1">
                  <c:v>76.58</c:v>
                </c:pt>
                <c:pt idx="2">
                  <c:v>76.58</c:v>
                </c:pt>
                <c:pt idx="3">
                  <c:v>76.58</c:v>
                </c:pt>
                <c:pt idx="4">
                  <c:v>76.58</c:v>
                </c:pt>
                <c:pt idx="5">
                  <c:v>76.58</c:v>
                </c:pt>
                <c:pt idx="6">
                  <c:v>76.58</c:v>
                </c:pt>
                <c:pt idx="7">
                  <c:v>76.58</c:v>
                </c:pt>
                <c:pt idx="8">
                  <c:v>76.58</c:v>
                </c:pt>
                <c:pt idx="9">
                  <c:v>76.58</c:v>
                </c:pt>
                <c:pt idx="10">
                  <c:v>76.58</c:v>
                </c:pt>
                <c:pt idx="11">
                  <c:v>76.58</c:v>
                </c:pt>
                <c:pt idx="12">
                  <c:v>76.58</c:v>
                </c:pt>
                <c:pt idx="13">
                  <c:v>76.58</c:v>
                </c:pt>
                <c:pt idx="14">
                  <c:v>76.58</c:v>
                </c:pt>
                <c:pt idx="15">
                  <c:v>76.58</c:v>
                </c:pt>
                <c:pt idx="16">
                  <c:v>76.58</c:v>
                </c:pt>
                <c:pt idx="17">
                  <c:v>76.58</c:v>
                </c:pt>
                <c:pt idx="18">
                  <c:v>76.58</c:v>
                </c:pt>
                <c:pt idx="19">
                  <c:v>76.58</c:v>
                </c:pt>
                <c:pt idx="20">
                  <c:v>76.58</c:v>
                </c:pt>
                <c:pt idx="21">
                  <c:v>76.58</c:v>
                </c:pt>
                <c:pt idx="22">
                  <c:v>76.58</c:v>
                </c:pt>
                <c:pt idx="23">
                  <c:v>76.58</c:v>
                </c:pt>
                <c:pt idx="24">
                  <c:v>76.58</c:v>
                </c:pt>
                <c:pt idx="25">
                  <c:v>76.58</c:v>
                </c:pt>
                <c:pt idx="26">
                  <c:v>76.58</c:v>
                </c:pt>
              </c:numCache>
            </c:numRef>
          </c:val>
        </c:ser>
        <c:marker val="1"/>
        <c:axId val="50030001"/>
        <c:axId val="50030002"/>
      </c:lineChart>
      <c:catAx>
        <c:axId val="50030001"/>
        <c:scaling>
          <c:orientation val="minMax"/>
        </c:scaling>
        <c:axPos val="b"/>
        <c:title>
          <c:tx>
            <c:rich>
              <a:bodyPr/>
              <a:lstStyle/>
              <a:p>
                <a:pPr>
                  <a:defRPr sz="1000" baseline="0">
                    <a:solidFill>
                      <a:srgbClr val="52514E"/>
                    </a:solidFill>
                    <a:latin typeface="Calibri"/>
                  </a:defRPr>
                </a:pPr>
                <a:r>
                  <a:rPr lang="en-US" sz="1000" baseline="0">
                    <a:solidFill>
                      <a:srgbClr val="52514E"/>
                    </a:solidFill>
                    <a:latin typeface="Calibri"/>
                  </a:rPr>
                  <a:t>Member state</a:t>
                </a:r>
              </a:p>
            </c:rich>
          </c:tx>
          <c:layout/>
        </c:title>
        <c:majorTickMark val="none"/>
        <c:minorTickMark val="none"/>
        <c:tickLblPos val="low"/>
        <c:spPr>
          <a:ln>
            <a:solidFill>
              <a:srgbClr val="D9D9D9"/>
            </a:solidFill>
          </a:ln>
        </c:spPr>
        <c:txPr>
          <a:bodyPr/>
          <a:lstStyle/>
          <a:p>
            <a:pPr>
              <a:defRPr sz="900" baseline="0">
                <a:solidFill>
                  <a:srgbClr val="52514E"/>
                </a:solidFill>
                <a:latin typeface="Calibri"/>
              </a:defRPr>
            </a:pPr>
            <a:endParaRPr lang="en-US"/>
          </a:p>
        </c:txPr>
        <c:crossAx val="50030002"/>
        <c:crosses val="autoZero"/>
        <c:auto val="1"/>
        <c:lblAlgn val="ctr"/>
        <c:lblOffset val="100"/>
      </c:catAx>
      <c:valAx>
        <c:axId val="50030002"/>
        <c:scaling>
          <c:orientation val="minMax"/>
          <c:max val="100"/>
          <c:min val="0"/>
        </c:scaling>
        <c:axPos val="l"/>
        <c:majorGridlines>
          <c:spPr>
            <a:ln w="9525">
              <a:solidFill>
                <a:srgbClr val="D9D9D9"/>
              </a:solidFill>
            </a:ln>
          </c:spPr>
        </c:majorGridlines>
        <c:title>
          <c:tx>
            <c:rich>
              <a:bodyPr/>
              <a:lstStyle/>
              <a:p>
                <a:pPr>
                  <a:defRPr sz="1000" baseline="0">
                    <a:solidFill>
                      <a:srgbClr val="52514E"/>
                    </a:solidFill>
                    <a:latin typeface="Calibri"/>
                  </a:defRPr>
                </a:pPr>
                <a:r>
                  <a:rPr lang="en-US" sz="1000" baseline="0">
                    <a:solidFill>
                      <a:srgbClr val="52514E"/>
                    </a:solidFill>
                    <a:latin typeface="Calibri"/>
                  </a:rPr>
                  <a:t>% of internet users</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30001"/>
        <c:crosses val="autoZero"/>
        <c:crossBetween val="between"/>
      </c:valAx>
      <c:spPr>
        <a:noFill/>
        <a:ln>
          <a:noFill/>
        </a:ln>
      </c:spPr>
    </c:plotArea>
    <c:legend>
      <c:legendPos val="b"/>
      <c:layout/>
      <c:txPr>
        <a:bodyPr/>
        <a:lstStyle/>
        <a:p>
          <a:pPr>
            <a:defRPr sz="900" baseline="0">
              <a:solidFill>
                <a:srgbClr val="52514E"/>
              </a:solidFill>
              <a:latin typeface="Calibri"/>
            </a:defRPr>
          </a:pPr>
          <a:endParaRPr lang="en-US"/>
        </a:p>
      </c:txPr>
      <c:spPr>
        <a:ln>
          <a:noFill/>
        </a:ln>
      </c:spPr>
    </c:legend>
    <c:plotVisOnly val="1"/>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F3A5F"/>
                </a:solidFill>
                <a:latin typeface="Calibri"/>
              </a:defRPr>
            </a:pPr>
            <a:r>
              <a:rPr lang="en-US" sz="1200" b="1" baseline="0">
                <a:solidFill>
                  <a:srgbClr val="1F3A5F"/>
                </a:solidFill>
                <a:latin typeface="Calibri"/>
              </a:rPr>
              <a:t>Adoption explains part of the outcome, not all of it
EU, 2024. n = 18, slope +0.602, R-squared 0.674</a:t>
            </a:r>
          </a:p>
        </c:rich>
      </c:tx>
      <c:layout/>
    </c:title>
    <c:plotArea>
      <c:layout/>
      <c:scatterChart>
        <c:scatterStyle val="lineMarker"/>
        <c:ser>
          <c:idx val="0"/>
          <c:order val="0"/>
          <c:tx>
            <c:v>Member state</c:v>
          </c:tx>
          <c:spPr>
            <a:ln>
              <a:noFill/>
            </a:ln>
          </c:spPr>
          <c:marker>
            <c:symbol val="circle"/>
            <c:size val="8"/>
            <c:spPr>
              <a:solidFill>
                <a:srgbClr val="8F8F8F"/>
              </a:solidFill>
              <a:ln w="15875">
                <a:solidFill>
                  <a:srgbClr val="FFFFFF"/>
                </a:solidFill>
              </a:ln>
            </c:spPr>
          </c:marker>
          <c:dPt>
            <c:idx val="0"/>
            <c:marker>
              <c:spPr>
                <a:solidFill>
                  <a:srgbClr val="8F8F8F"/>
                </a:solidFill>
                <a:ln w="15875">
                  <a:solidFill>
                    <a:srgbClr val="FFFFFF"/>
                  </a:solidFill>
                </a:ln>
              </c:spPr>
            </c:marker>
          </c:dPt>
          <c:dPt>
            <c:idx val="1"/>
            <c:marker>
              <c:spPr>
                <a:solidFill>
                  <a:srgbClr val="8F8F8F"/>
                </a:solidFill>
                <a:ln w="15875">
                  <a:solidFill>
                    <a:srgbClr val="FFFFFF"/>
                  </a:solidFill>
                </a:ln>
              </c:spPr>
            </c:marker>
          </c:dPt>
          <c:dPt>
            <c:idx val="2"/>
            <c:marker>
              <c:spPr>
                <a:solidFill>
                  <a:srgbClr val="8F8F8F"/>
                </a:solidFill>
                <a:ln w="15875">
                  <a:solidFill>
                    <a:srgbClr val="FFFFFF"/>
                  </a:solidFill>
                </a:ln>
              </c:spPr>
            </c:marker>
          </c:dPt>
          <c:dPt>
            <c:idx val="3"/>
            <c:marker>
              <c:spPr>
                <a:solidFill>
                  <a:srgbClr val="8F8F8F"/>
                </a:solidFill>
                <a:ln w="15875">
                  <a:solidFill>
                    <a:srgbClr val="FFFFFF"/>
                  </a:solidFill>
                </a:ln>
              </c:spPr>
            </c:marker>
          </c:dPt>
          <c:dPt>
            <c:idx val="4"/>
            <c:marker>
              <c:spPr>
                <a:solidFill>
                  <a:srgbClr val="8F8F8F"/>
                </a:solidFill>
                <a:ln w="15875">
                  <a:solidFill>
                    <a:srgbClr val="FFFFFF"/>
                  </a:solidFill>
                </a:ln>
              </c:spPr>
            </c:marker>
          </c:dPt>
          <c:dPt>
            <c:idx val="5"/>
            <c:marker>
              <c:spPr>
                <a:solidFill>
                  <a:srgbClr val="8F8F8F"/>
                </a:solidFill>
                <a:ln w="15875">
                  <a:solidFill>
                    <a:srgbClr val="FFFFFF"/>
                  </a:solidFill>
                </a:ln>
              </c:spPr>
            </c:marker>
          </c:dPt>
          <c:dPt>
            <c:idx val="6"/>
            <c:marker>
              <c:spPr>
                <a:solidFill>
                  <a:srgbClr val="2A78D6"/>
                </a:solidFill>
                <a:ln w="15875">
                  <a:solidFill>
                    <a:srgbClr val="FFFFFF"/>
                  </a:solidFill>
                </a:ln>
              </c:spPr>
            </c:marker>
          </c:dPt>
          <c:dPt>
            <c:idx val="7"/>
            <c:marker>
              <c:spPr>
                <a:solidFill>
                  <a:srgbClr val="8F8F8F"/>
                </a:solidFill>
                <a:ln w="15875">
                  <a:solidFill>
                    <a:srgbClr val="FFFFFF"/>
                  </a:solidFill>
                </a:ln>
              </c:spPr>
            </c:marker>
          </c:dPt>
          <c:dPt>
            <c:idx val="8"/>
            <c:marker>
              <c:spPr>
                <a:solidFill>
                  <a:srgbClr val="8F8F8F"/>
                </a:solidFill>
                <a:ln w="15875">
                  <a:solidFill>
                    <a:srgbClr val="FFFFFF"/>
                  </a:solidFill>
                </a:ln>
              </c:spPr>
            </c:marker>
          </c:dPt>
          <c:dPt>
            <c:idx val="9"/>
            <c:marker>
              <c:spPr>
                <a:solidFill>
                  <a:srgbClr val="8F8F8F"/>
                </a:solidFill>
                <a:ln w="15875">
                  <a:solidFill>
                    <a:srgbClr val="FFFFFF"/>
                  </a:solidFill>
                </a:ln>
              </c:spPr>
            </c:marker>
          </c:dPt>
          <c:dPt>
            <c:idx val="10"/>
            <c:marker>
              <c:spPr>
                <a:solidFill>
                  <a:srgbClr val="8F8F8F"/>
                </a:solidFill>
                <a:ln w="15875">
                  <a:solidFill>
                    <a:srgbClr val="FFFFFF"/>
                  </a:solidFill>
                </a:ln>
              </c:spPr>
            </c:marker>
          </c:dPt>
          <c:dPt>
            <c:idx val="11"/>
            <c:marker>
              <c:spPr>
                <a:solidFill>
                  <a:srgbClr val="8F8F8F"/>
                </a:solidFill>
                <a:ln w="15875">
                  <a:solidFill>
                    <a:srgbClr val="FFFFFF"/>
                  </a:solidFill>
                </a:ln>
              </c:spPr>
            </c:marker>
          </c:dPt>
          <c:dPt>
            <c:idx val="12"/>
            <c:marker>
              <c:spPr>
                <a:solidFill>
                  <a:srgbClr val="8F8F8F"/>
                </a:solidFill>
                <a:ln w="15875">
                  <a:solidFill>
                    <a:srgbClr val="FFFFFF"/>
                  </a:solidFill>
                </a:ln>
              </c:spPr>
            </c:marker>
          </c:dPt>
          <c:dPt>
            <c:idx val="13"/>
            <c:marker>
              <c:spPr>
                <a:solidFill>
                  <a:srgbClr val="8F8F8F"/>
                </a:solidFill>
                <a:ln w="15875">
                  <a:solidFill>
                    <a:srgbClr val="FFFFFF"/>
                  </a:solidFill>
                </a:ln>
              </c:spPr>
            </c:marker>
          </c:dPt>
          <c:dPt>
            <c:idx val="14"/>
            <c:marker>
              <c:spPr>
                <a:solidFill>
                  <a:srgbClr val="8F8F8F"/>
                </a:solidFill>
                <a:ln w="15875">
                  <a:solidFill>
                    <a:srgbClr val="FFFFFF"/>
                  </a:solidFill>
                </a:ln>
              </c:spPr>
            </c:marker>
          </c:dPt>
          <c:dPt>
            <c:idx val="15"/>
            <c:marker>
              <c:spPr>
                <a:solidFill>
                  <a:srgbClr val="8F8F8F"/>
                </a:solidFill>
                <a:ln w="15875">
                  <a:solidFill>
                    <a:srgbClr val="FFFFFF"/>
                  </a:solidFill>
                </a:ln>
              </c:spPr>
            </c:marker>
          </c:dPt>
          <c:dPt>
            <c:idx val="16"/>
            <c:marker>
              <c:spPr>
                <a:solidFill>
                  <a:srgbClr val="8F8F8F"/>
                </a:solidFill>
                <a:ln w="15875">
                  <a:solidFill>
                    <a:srgbClr val="FFFFFF"/>
                  </a:solidFill>
                </a:ln>
              </c:spPr>
            </c:marker>
          </c:dPt>
          <c:dPt>
            <c:idx val="17"/>
            <c:marker>
              <c:spPr>
                <a:solidFill>
                  <a:srgbClr val="8F8F8F"/>
                </a:solidFill>
                <a:ln w="15875">
                  <a:solidFill>
                    <a:srgbClr val="FFFFFF"/>
                  </a:solidFill>
                </a:ln>
              </c:spPr>
            </c:marker>
          </c:dPt>
          <c:trendline>
            <c:spPr>
              <a:ln w="15875">
                <a:solidFill>
                  <a:srgbClr val="1F3A5F"/>
                </a:solidFill>
                <a:prstDash val="dash"/>
              </a:ln>
            </c:spPr>
            <c:trendlineType val="linear"/>
          </c:trendline>
          <c:xVal>
            <c:numRef>
              <c:f>F6_ADOPT_BENEFIT!$C$5:$C$22</c:f>
              <c:numCache>
                <c:formatCode>General</c:formatCode>
                <c:ptCount val="18"/>
                <c:pt idx="0">
                  <c:v>74.18</c:v>
                </c:pt>
                <c:pt idx="1">
                  <c:v>78.98</c:v>
                </c:pt>
                <c:pt idx="2">
                  <c:v>57.18</c:v>
                </c:pt>
                <c:pt idx="3">
                  <c:v>68.16</c:v>
                </c:pt>
                <c:pt idx="4">
                  <c:v>86.21</c:v>
                </c:pt>
                <c:pt idx="5">
                  <c:v>82.53</c:v>
                </c:pt>
                <c:pt idx="6">
                  <c:v>90.86</c:v>
                </c:pt>
                <c:pt idx="7">
                  <c:v>71.54</c:v>
                </c:pt>
                <c:pt idx="8">
                  <c:v>84.37</c:v>
                </c:pt>
                <c:pt idx="9">
                  <c:v>70.07</c:v>
                </c:pt>
                <c:pt idx="10">
                  <c:v>78.87</c:v>
                </c:pt>
                <c:pt idx="11">
                  <c:v>95.79</c:v>
                </c:pt>
                <c:pt idx="12">
                  <c:v>59.6</c:v>
                </c:pt>
                <c:pt idx="13">
                  <c:v>81.34</c:v>
                </c:pt>
                <c:pt idx="14">
                  <c:v>73.2</c:v>
                </c:pt>
                <c:pt idx="15">
                  <c:v>75.07</c:v>
                </c:pt>
                <c:pt idx="16">
                  <c:v>89.89</c:v>
                </c:pt>
                <c:pt idx="17">
                  <c:v>72.39</c:v>
                </c:pt>
              </c:numCache>
            </c:numRef>
          </c:xVal>
          <c:yVal>
            <c:numRef>
              <c:f>F6_ADOPT_BENEFIT!$D$5:$D$22</c:f>
              <c:numCache>
                <c:formatCode>General</c:formatCode>
                <c:ptCount val="18"/>
                <c:pt idx="0">
                  <c:v>18.96</c:v>
                </c:pt>
                <c:pt idx="1">
                  <c:v>29.51</c:v>
                </c:pt>
                <c:pt idx="2">
                  <c:v>7.63</c:v>
                </c:pt>
                <c:pt idx="3">
                  <c:v>13.36</c:v>
                </c:pt>
                <c:pt idx="4">
                  <c:v>25.65</c:v>
                </c:pt>
                <c:pt idx="5">
                  <c:v>19.05</c:v>
                </c:pt>
                <c:pt idx="6">
                  <c:v>33.31</c:v>
                </c:pt>
                <c:pt idx="7">
                  <c:v>18.27</c:v>
                </c:pt>
                <c:pt idx="8">
                  <c:v>14.25</c:v>
                </c:pt>
                <c:pt idx="9">
                  <c:v>18.48</c:v>
                </c:pt>
                <c:pt idx="10">
                  <c:v>21.35</c:v>
                </c:pt>
                <c:pt idx="11">
                  <c:v>38.25</c:v>
                </c:pt>
                <c:pt idx="12">
                  <c:v>15.66</c:v>
                </c:pt>
                <c:pt idx="13">
                  <c:v>23.86</c:v>
                </c:pt>
                <c:pt idx="14">
                  <c:v>15.46</c:v>
                </c:pt>
                <c:pt idx="15">
                  <c:v>17.66</c:v>
                </c:pt>
                <c:pt idx="16">
                  <c:v>26.32</c:v>
                </c:pt>
                <c:pt idx="17">
                  <c:v>16.78</c:v>
                </c:pt>
              </c:numCache>
            </c:numRef>
          </c:yVal>
        </c:ser>
        <c:axId val="50040001"/>
        <c:axId val="50040002"/>
      </c:scatterChart>
      <c:valAx>
        <c:axId val="50040001"/>
        <c:scaling>
          <c:orientation val="minMax"/>
          <c:max val="100"/>
          <c:min val="50"/>
        </c:scaling>
        <c:axPos val="b"/>
        <c:majorGridlines>
          <c:spPr>
            <a:ln w="9525">
              <a:solidFill>
                <a:srgbClr val="D9D9D9"/>
              </a:solidFill>
            </a:ln>
          </c:spPr>
        </c:majorGridlines>
        <c:title>
          <c:tx>
            <c:rich>
              <a:bodyPr/>
              <a:lstStyle/>
              <a:p>
                <a:pPr>
                  <a:defRPr sz="1000" baseline="0">
                    <a:solidFill>
                      <a:srgbClr val="52514E"/>
                    </a:solidFill>
                    <a:latin typeface="Calibri"/>
                  </a:defRPr>
                </a:pPr>
                <a:r>
                  <a:rPr lang="en-US" sz="1000" baseline="0">
                    <a:solidFill>
                      <a:srgbClr val="52514E"/>
                    </a:solidFill>
                    <a:latin typeface="Calibri"/>
                  </a:rPr>
                  <a:t>Individuals who bought online (% of internet users)</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40002"/>
        <c:crosses val="autoZero"/>
        <c:crossBetween val="midCat"/>
      </c:valAx>
      <c:valAx>
        <c:axId val="50040002"/>
        <c:scaling>
          <c:orientation val="minMax"/>
          <c:max val="40"/>
          <c:min val="0"/>
        </c:scaling>
        <c:axPos val="l"/>
        <c:majorGridlines>
          <c:spPr>
            <a:ln w="9525">
              <a:solidFill>
                <a:srgbClr val="D9D9D9"/>
              </a:solidFill>
            </a:ln>
          </c:spPr>
        </c:majorGridlines>
        <c:title>
          <c:tx>
            <c:rich>
              <a:bodyPr rot="-5400000" vert="horz"/>
              <a:lstStyle/>
              <a:p>
                <a:pPr>
                  <a:defRPr sz="1000" baseline="0">
                    <a:solidFill>
                      <a:srgbClr val="52514E"/>
                    </a:solidFill>
                    <a:latin typeface="Calibri"/>
                  </a:defRPr>
                </a:pPr>
                <a:r>
                  <a:rPr lang="en-US" sz="1000" baseline="0">
                    <a:solidFill>
                      <a:srgbClr val="52514E"/>
                    </a:solidFill>
                    <a:latin typeface="Calibri"/>
                  </a:rPr>
                  <a:t>E-sales (% of enterprise turnover)</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40001"/>
        <c:crosses val="autoZero"/>
        <c:crossBetween val="midCat"/>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533400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533400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533400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533400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fr.const-court.be/public/f/2025/2025-126f.pdf" TargetMode="External"/><Relationship Id="rId2" Type="http://schemas.openxmlformats.org/officeDocument/2006/relationships/hyperlink" Target="https://www.bundesrechnungshof.de/SharedDocs/Pressemitteilungen/DE/2022/bemerkungen2022-hauptband.html" TargetMode="External"/><Relationship Id="rId3" Type="http://schemas.openxmlformats.org/officeDocument/2006/relationships/hyperlink" Target="https://www.conseil-etat.fr/fr/arianeweb/CE/decision/2022-06-03/452798" TargetMode="External"/><Relationship Id="rId4" Type="http://schemas.openxmlformats.org/officeDocument/2006/relationships/hyperlink" Target="https://digst.dk/tal-og-statistik/" TargetMode="External"/><Relationship Id="rId5" Type="http://schemas.openxmlformats.org/officeDocument/2006/relationships/hyperlink" Target="https://digst.dk/digital-inklusion/viden-om-digital-inklusion/hvem-oplever-udfordringer-ved-det-digitale/" TargetMode="External"/><Relationship Id="rId6" Type="http://schemas.openxmlformats.org/officeDocument/2006/relationships/hyperlink" Target="https://digst.dk/media/yz2ouzzz/effektmaaling-af-smvdigital-2025.pdf" TargetMode="External"/><Relationship Id="rId7" Type="http://schemas.openxmlformats.org/officeDocument/2006/relationships/hyperlink" Target="https://digst.dk/it-loesninger/digital-post/lovgivning/" TargetMode="External"/><Relationship Id="rId8" Type="http://schemas.openxmlformats.org/officeDocument/2006/relationships/hyperlink" Target="https://www.mitid.dk/en-gb/about-mitid/news/nemid-is-about-to-be-closed/" TargetMode="External"/><Relationship Id="rId9" Type="http://schemas.openxmlformats.org/officeDocument/2006/relationships/hyperlink" Target="https://www.dst.dk/da/Statistik/dokumentation/statistikdokumentation/detailomsaetningsindeks" TargetMode="External"/><Relationship Id="rId10" Type="http://schemas.openxmlformats.org/officeDocument/2006/relationships/hyperlink" Target="https://www.dst.dk/da/Statistik/emner/borgere/befolkning/befolkningstal" TargetMode="External"/><Relationship Id="rId11" Type="http://schemas.openxmlformats.org/officeDocument/2006/relationships/hyperlink" Target="https://digital-strategy.ec.europa.eu/en/policies/desi" TargetMode="External"/><Relationship Id="rId12" Type="http://schemas.openxmlformats.org/officeDocument/2006/relationships/hyperlink" Target="https://ec.europa.eu/eurostat/statistics-explained/index.php?title=E-commerce_statistics_for_individuals" TargetMode="External"/><Relationship Id="rId13" Type="http://schemas.openxmlformats.org/officeDocument/2006/relationships/hyperlink" Target="https://ec.europa.eu/eurostat/web/products-eurostat-news/-/ddn-20210217-1" TargetMode="External"/><Relationship Id="rId14" Type="http://schemas.openxmlformats.org/officeDocument/2006/relationships/hyperlink" Target="https://ec.europa.eu/eurostat/web/products-eurostat-news/-/ddn-20220202-1" TargetMode="External"/><Relationship Id="rId15" Type="http://schemas.openxmlformats.org/officeDocument/2006/relationships/hyperlink" Target="https://ec.europa.eu/eurostat/web/products-eurostat-news/w/ddn-20250220-3" TargetMode="External"/><Relationship Id="rId16" Type="http://schemas.openxmlformats.org/officeDocument/2006/relationships/hyperlink" Target="https://ec.europa.eu/eurostat/web/products-eurostat-news/w/ddn-20250227-2" TargetMode="External"/><Relationship Id="rId17" Type="http://schemas.openxmlformats.org/officeDocument/2006/relationships/hyperlink" Target="https://ec.europa.eu/eurostat/databrowser/view/tin00110/default/table?lang=en" TargetMode="External"/><Relationship Id="rId18" Type="http://schemas.openxmlformats.org/officeDocument/2006/relationships/hyperlink" Target="https://ec.europa.eu/eurostat/databrowser/view/isoc_ec_ib20/default/table?lang=en" TargetMode="External"/><Relationship Id="rId19" Type="http://schemas.openxmlformats.org/officeDocument/2006/relationships/hyperlink" Target="https://ec.europa.eu/eurostat/databrowser/view/tesem160/default/table?lang=en" TargetMode="External"/><Relationship Id="rId20" Type="http://schemas.openxmlformats.org/officeDocument/2006/relationships/hyperlink" Target="https://ec.europa.eu/eurostat/databrowser/view/isoc_ciegi_ac/default/table?lang=en" TargetMode="External"/><Relationship Id="rId21" Type="http://schemas.openxmlformats.org/officeDocument/2006/relationships/hyperlink" Target="https://finansdanmark.dk/tal-og-data/institutter-filialer-ansatte/" TargetMode="External"/><Relationship Id="rId22" Type="http://schemas.openxmlformats.org/officeDocument/2006/relationships/hyperlink" Target="https://www.aeaweb.org/articles?id=10.1257%2Faer.20150808" TargetMode="External"/><Relationship Id="rId23" Type="http://schemas.openxmlformats.org/officeDocument/2006/relationships/hyperlink" Target="https://menneskeret.dk/sites/menneskeret.dk/files/media/document/Rettigheder%20i%20den%20digitale%20velf%C3%A6rdsstat.%20Analyse,%20Institut%20for%20Menneskerettigheder,%20december%202023.PDF" TargetMode="External"/><Relationship Id="rId24" Type="http://schemas.openxmlformats.org/officeDocument/2006/relationships/hyperlink" Target="https://justitia-int.org/wp-content/uploads/2022/09/Rapport_Retssikkerhed-for-digitalt-udsatte-borgere-1.pdf" TargetMode="External"/><Relationship Id="rId25" Type="http://schemas.openxmlformats.org/officeDocument/2006/relationships/hyperlink" Target="https://www.retsinformation.dk/eli/lta/2023/603" TargetMode="External"/><Relationship Id="rId26" Type="http://schemas.openxmlformats.org/officeDocument/2006/relationships/hyperlink" Target="https://www.nationalbanken.dk/en/what-we-do/safe-and-efficient-payments/payment-habits-in-denmark" TargetMode="External"/><Relationship Id="rId27" Type="http://schemas.openxmlformats.org/officeDocument/2006/relationships/hyperlink" Target="https://www.digdir.no/digitale-felleslosninger/kontakt-og-reservasjonsregisteret-krr/865" TargetMode="External"/><Relationship Id="rId28" Type="http://schemas.openxmlformats.org/officeDocument/2006/relationships/hyperlink" Target="https://www.retsinformation.dk/eli/lta/2012/528" TargetMode="External"/><Relationship Id="rId29" Type="http://schemas.openxmlformats.org/officeDocument/2006/relationships/hyperlink" Target="https://www.finanstilsynet.dk/finansielle-temaer/betalingstjenester-og-e-penge/kontantreglen" TargetMode="External"/><Relationship Id="rId30" Type="http://schemas.openxmlformats.org/officeDocument/2006/relationships/hyperlink" Target="https://www.rigsrevisionen.dk/revisionssager-arkiv/2016/jan/beretning-om-besparelsespotentialet-ved-obligatorisk-digital-post-paa-ca-1-mia-kr-om-aaret" TargetMode="External"/><Relationship Id="rId31" Type="http://schemas.openxmlformats.org/officeDocument/2006/relationships/hyperlink" Target="https://pietrosantoleri.github.io/files/Santoleri_et_al_The_effects_of_R_D_grants.pdf" TargetMode="External"/><Relationship Id="rId32" Type="http://schemas.openxmlformats.org/officeDocument/2006/relationships/hyperlink" Target="https://smvdigital.dk/content/ydelser/tilskudspuljer-i-2026/8efa07f4-5032-47f4-b7fa-bab57412b762/"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sheetPr>
    <tabColor rgb="FF1F3A5F"/>
    <pageSetUpPr fitToPage="1"/>
  </sheetPr>
  <dimension ref="A1:B41"/>
  <sheetViews>
    <sheetView showGridLines="0" tabSelected="1" workbookViewId="0"/>
  </sheetViews>
  <sheetFormatPr defaultRowHeight="15"/>
  <cols>
    <col min="1" max="1" width="26.7109375" customWidth="1"/>
    <col min="2" max="2" width="96.7109375" customWidth="1"/>
  </cols>
  <sheetData>
    <row r="1" spans="1:2" ht="22" customHeight="1">
      <c r="A1" s="1" t="s">
        <v>0</v>
      </c>
    </row>
    <row r="2" spans="1:2">
      <c r="A2" s="2" t="s">
        <v>1</v>
      </c>
    </row>
    <row r="4" spans="1:2">
      <c r="A4" s="3" t="s">
        <v>2</v>
      </c>
      <c r="B4" s="4" t="s">
        <v>3</v>
      </c>
    </row>
    <row r="5" spans="1:2">
      <c r="A5" s="3" t="s">
        <v>4</v>
      </c>
      <c r="B5" s="4" t="s">
        <v>5</v>
      </c>
    </row>
    <row r="6" spans="1:2">
      <c r="A6" s="3" t="s">
        <v>6</v>
      </c>
      <c r="B6" s="4" t="s">
        <v>7</v>
      </c>
    </row>
    <row r="7" spans="1:2">
      <c r="A7" s="3" t="s">
        <v>8</v>
      </c>
      <c r="B7" s="4" t="s">
        <v>9</v>
      </c>
    </row>
    <row r="8" spans="1:2">
      <c r="A8" s="3" t="s">
        <v>10</v>
      </c>
      <c r="B8" s="4" t="s">
        <v>11</v>
      </c>
    </row>
    <row r="9" spans="1:2">
      <c r="A9" s="3" t="s">
        <v>12</v>
      </c>
      <c r="B9" s="5">
        <v>136</v>
      </c>
    </row>
    <row r="10" spans="1:2">
      <c r="A10" s="3" t="s">
        <v>13</v>
      </c>
      <c r="B10" s="5">
        <v>33</v>
      </c>
    </row>
    <row r="11" spans="1:2">
      <c r="A11" s="3" t="s">
        <v>14</v>
      </c>
      <c r="B11" s="4" t="s">
        <v>15</v>
      </c>
    </row>
    <row r="13" spans="1:2">
      <c r="A13" s="6" t="s">
        <v>16</v>
      </c>
    </row>
    <row r="14" spans="1:2">
      <c r="A14" s="7" t="s">
        <v>17</v>
      </c>
    </row>
    <row r="15" spans="1:2">
      <c r="A15" s="7" t="s">
        <v>18</v>
      </c>
    </row>
    <row r="16" spans="1:2">
      <c r="A16" s="7" t="s">
        <v>19</v>
      </c>
    </row>
    <row r="17" spans="1:2">
      <c r="A17" s="7" t="s">
        <v>20</v>
      </c>
    </row>
    <row r="18" spans="1:2">
      <c r="A18" s="7" t="s">
        <v>21</v>
      </c>
    </row>
    <row r="20" spans="1:2">
      <c r="A20" s="6" t="s">
        <v>22</v>
      </c>
    </row>
    <row r="21" spans="1:2">
      <c r="A21" s="8"/>
      <c r="B21" s="9" t="s">
        <v>23</v>
      </c>
    </row>
    <row r="22" spans="1:2">
      <c r="A22" s="10"/>
      <c r="B22" s="9" t="s">
        <v>24</v>
      </c>
    </row>
    <row r="23" spans="1:2">
      <c r="A23" s="11"/>
      <c r="B23" s="9" t="s">
        <v>25</v>
      </c>
    </row>
    <row r="24" spans="1:2">
      <c r="A24" s="12"/>
      <c r="B24" s="9" t="s">
        <v>26</v>
      </c>
    </row>
    <row r="26" spans="1:2">
      <c r="A26" s="6" t="s">
        <v>27</v>
      </c>
    </row>
    <row r="27" spans="1:2">
      <c r="A27" s="4" t="s">
        <v>28</v>
      </c>
      <c r="B27" s="9" t="s">
        <v>29</v>
      </c>
    </row>
    <row r="28" spans="1:2">
      <c r="A28" s="4" t="s">
        <v>30</v>
      </c>
      <c r="B28" s="9" t="s">
        <v>31</v>
      </c>
    </row>
    <row r="29" spans="1:2">
      <c r="A29" s="4" t="s">
        <v>32</v>
      </c>
      <c r="B29" s="9" t="s">
        <v>33</v>
      </c>
    </row>
    <row r="30" spans="1:2">
      <c r="A30" s="4" t="s">
        <v>34</v>
      </c>
      <c r="B30" s="9" t="s">
        <v>35</v>
      </c>
    </row>
    <row r="31" spans="1:2">
      <c r="A31" s="4" t="s">
        <v>36</v>
      </c>
      <c r="B31" s="9" t="s">
        <v>37</v>
      </c>
    </row>
    <row r="32" spans="1:2">
      <c r="A32" s="4" t="s">
        <v>38</v>
      </c>
      <c r="B32" s="9" t="s">
        <v>39</v>
      </c>
    </row>
    <row r="33" spans="1:2">
      <c r="A33" s="4" t="s">
        <v>40</v>
      </c>
      <c r="B33" s="9" t="s">
        <v>41</v>
      </c>
    </row>
    <row r="34" spans="1:2">
      <c r="A34" s="4" t="s">
        <v>42</v>
      </c>
      <c r="B34" s="9" t="s">
        <v>43</v>
      </c>
    </row>
    <row r="35" spans="1:2">
      <c r="A35" s="4" t="s">
        <v>44</v>
      </c>
      <c r="B35" s="9" t="s">
        <v>45</v>
      </c>
    </row>
    <row r="36" spans="1:2">
      <c r="A36" s="4" t="s">
        <v>46</v>
      </c>
      <c r="B36" s="9" t="s">
        <v>47</v>
      </c>
    </row>
    <row r="37" spans="1:2">
      <c r="A37" s="4" t="s">
        <v>48</v>
      </c>
      <c r="B37" s="9" t="s">
        <v>49</v>
      </c>
    </row>
    <row r="38" spans="1:2">
      <c r="A38" s="4" t="s">
        <v>50</v>
      </c>
      <c r="B38" s="9" t="s">
        <v>51</v>
      </c>
    </row>
    <row r="40" spans="1:2">
      <c r="A40" s="3" t="s">
        <v>52</v>
      </c>
      <c r="B40" s="7" t="s">
        <v>53</v>
      </c>
    </row>
    <row r="41" spans="1:2">
      <c r="A41" s="3" t="s">
        <v>54</v>
      </c>
      <c r="B41" s="7" t="s">
        <v>55</v>
      </c>
    </row>
  </sheetData>
  <pageMargins left="0.5" right="0.5" top="0.6" bottom="0.6" header="0.3" footer="0.3"/>
  <pageSetup paperSize="9" fitToHeight="0" orientation="portrait"/>
  <headerFooter>
    <oddFooter>&amp;L&amp;A&amp;C&amp;D&amp;R Page &amp;P of &amp;N</oddFooter>
  </headerFooter>
</worksheet>
</file>

<file path=xl/worksheets/sheet2.xml><?xml version="1.0" encoding="utf-8"?>
<worksheet xmlns="http://schemas.openxmlformats.org/spreadsheetml/2006/main" xmlns:r="http://schemas.openxmlformats.org/officeDocument/2006/relationships">
  <sheetPr>
    <tabColor rgb="FF1F3A5F"/>
    <pageSetUpPr fitToPage="1"/>
  </sheetPr>
  <dimension ref="A1:L13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7.7109375" customWidth="1"/>
    <col min="2" max="2" width="21.7109375" customWidth="1"/>
    <col min="3" max="3" width="44.7109375" customWidth="1"/>
    <col min="4" max="4" width="6.7109375" customWidth="1"/>
    <col min="5" max="5" width="7.7109375" customWidth="1"/>
    <col min="6" max="6" width="12.7109375" customWidth="1"/>
    <col min="7" max="7" width="21.7109375" customWidth="1"/>
    <col min="8" max="8" width="34.7109375" customWidth="1"/>
    <col min="9" max="9" width="6.7109375" customWidth="1"/>
    <col min="10" max="10" width="10.7109375" customWidth="1"/>
    <col min="11" max="11" width="19.7109375" customWidth="1"/>
    <col min="12" max="12" width="56.7109375" customWidth="1"/>
  </cols>
  <sheetData>
    <row r="1" spans="1:12" ht="30" customHeight="1">
      <c r="A1" s="13" t="s">
        <v>56</v>
      </c>
      <c r="B1" s="13" t="s">
        <v>57</v>
      </c>
      <c r="C1" s="13" t="s">
        <v>58</v>
      </c>
      <c r="D1" s="13" t="s">
        <v>59</v>
      </c>
      <c r="E1" s="13" t="s">
        <v>60</v>
      </c>
      <c r="F1" s="13" t="s">
        <v>61</v>
      </c>
      <c r="G1" s="13" t="s">
        <v>62</v>
      </c>
      <c r="H1" s="13" t="s">
        <v>63</v>
      </c>
      <c r="I1" s="13" t="s">
        <v>64</v>
      </c>
      <c r="J1" s="13" t="s">
        <v>65</v>
      </c>
      <c r="K1" s="13" t="s">
        <v>66</v>
      </c>
      <c r="L1" s="13" t="s">
        <v>67</v>
      </c>
    </row>
    <row r="2" spans="1:12">
      <c r="A2" s="5">
        <v>1</v>
      </c>
      <c r="B2" s="4" t="s">
        <v>68</v>
      </c>
      <c r="C2" s="14" t="s">
        <v>69</v>
      </c>
      <c r="D2" s="4" t="s">
        <v>70</v>
      </c>
      <c r="E2" s="15">
        <v>2024</v>
      </c>
      <c r="F2" s="16">
        <v>98.5</v>
      </c>
      <c r="G2" s="4" t="s">
        <v>71</v>
      </c>
      <c r="H2" s="14" t="s">
        <v>72</v>
      </c>
      <c r="I2" s="4" t="s">
        <v>73</v>
      </c>
      <c r="J2" s="4" t="s">
        <v>74</v>
      </c>
      <c r="K2" s="4" t="s">
        <v>75</v>
      </c>
      <c r="L2" s="14" t="s">
        <v>76</v>
      </c>
    </row>
    <row r="3" spans="1:12">
      <c r="A3" s="5">
        <v>2</v>
      </c>
      <c r="B3" s="4" t="s">
        <v>77</v>
      </c>
      <c r="C3" s="14" t="s">
        <v>69</v>
      </c>
      <c r="D3" s="4" t="s">
        <v>78</v>
      </c>
      <c r="E3" s="15">
        <v>2024</v>
      </c>
      <c r="F3" s="16">
        <v>70</v>
      </c>
      <c r="G3" s="4" t="s">
        <v>71</v>
      </c>
      <c r="H3" s="14" t="s">
        <v>72</v>
      </c>
      <c r="I3" s="4" t="s">
        <v>73</v>
      </c>
      <c r="J3" s="4" t="s">
        <v>74</v>
      </c>
      <c r="K3" s="4" t="s">
        <v>75</v>
      </c>
      <c r="L3" s="14" t="s">
        <v>79</v>
      </c>
    </row>
    <row r="4" spans="1:12">
      <c r="A4" s="5">
        <v>3</v>
      </c>
      <c r="B4" s="4" t="s">
        <v>80</v>
      </c>
      <c r="C4" s="14" t="s">
        <v>81</v>
      </c>
      <c r="D4" s="4" t="s">
        <v>70</v>
      </c>
      <c r="E4" s="15">
        <v>2017</v>
      </c>
      <c r="F4" s="16">
        <v>23</v>
      </c>
      <c r="G4" s="4" t="s">
        <v>71</v>
      </c>
      <c r="H4" s="14" t="s">
        <v>82</v>
      </c>
      <c r="I4" s="4" t="s">
        <v>73</v>
      </c>
      <c r="J4" s="4" t="s">
        <v>83</v>
      </c>
      <c r="K4" s="4" t="s">
        <v>84</v>
      </c>
      <c r="L4" s="14" t="s">
        <v>73</v>
      </c>
    </row>
    <row r="5" spans="1:12">
      <c r="A5" s="5">
        <v>4</v>
      </c>
      <c r="B5" s="4" t="s">
        <v>80</v>
      </c>
      <c r="C5" s="14" t="s">
        <v>81</v>
      </c>
      <c r="D5" s="4" t="s">
        <v>70</v>
      </c>
      <c r="E5" s="15">
        <v>2023</v>
      </c>
      <c r="F5" s="16">
        <v>11</v>
      </c>
      <c r="G5" s="4" t="s">
        <v>71</v>
      </c>
      <c r="H5" s="14" t="s">
        <v>82</v>
      </c>
      <c r="I5" s="4" t="s">
        <v>73</v>
      </c>
      <c r="J5" s="4" t="s">
        <v>83</v>
      </c>
      <c r="K5" s="4" t="s">
        <v>84</v>
      </c>
      <c r="L5" s="14" t="s">
        <v>73</v>
      </c>
    </row>
    <row r="6" spans="1:12">
      <c r="A6" s="5">
        <v>5</v>
      </c>
      <c r="B6" s="4" t="s">
        <v>80</v>
      </c>
      <c r="C6" s="14" t="s">
        <v>81</v>
      </c>
      <c r="D6" s="4" t="s">
        <v>70</v>
      </c>
      <c r="E6" s="15">
        <v>2025</v>
      </c>
      <c r="F6" s="16">
        <v>9</v>
      </c>
      <c r="G6" s="4" t="s">
        <v>71</v>
      </c>
      <c r="H6" s="14" t="s">
        <v>82</v>
      </c>
      <c r="I6" s="4" t="s">
        <v>73</v>
      </c>
      <c r="J6" s="4" t="s">
        <v>83</v>
      </c>
      <c r="K6" s="4" t="s">
        <v>84</v>
      </c>
      <c r="L6" s="14" t="s">
        <v>73</v>
      </c>
    </row>
    <row r="7" spans="1:12">
      <c r="A7" s="5">
        <v>6</v>
      </c>
      <c r="B7" s="4" t="s">
        <v>85</v>
      </c>
      <c r="C7" s="14" t="s">
        <v>86</v>
      </c>
      <c r="D7" s="4" t="s">
        <v>70</v>
      </c>
      <c r="E7" s="15">
        <v>2017</v>
      </c>
      <c r="F7" s="16">
        <v>73</v>
      </c>
      <c r="G7" s="4" t="s">
        <v>71</v>
      </c>
      <c r="H7" s="14" t="s">
        <v>82</v>
      </c>
      <c r="I7" s="4" t="s">
        <v>73</v>
      </c>
      <c r="J7" s="4" t="s">
        <v>83</v>
      </c>
      <c r="K7" s="4" t="s">
        <v>84</v>
      </c>
      <c r="L7" s="14" t="s">
        <v>73</v>
      </c>
    </row>
    <row r="8" spans="1:12">
      <c r="A8" s="5">
        <v>7</v>
      </c>
      <c r="B8" s="4" t="s">
        <v>85</v>
      </c>
      <c r="C8" s="14" t="s">
        <v>86</v>
      </c>
      <c r="D8" s="4" t="s">
        <v>70</v>
      </c>
      <c r="E8" s="15">
        <v>2025</v>
      </c>
      <c r="F8" s="16">
        <v>54</v>
      </c>
      <c r="G8" s="4" t="s">
        <v>71</v>
      </c>
      <c r="H8" s="14" t="s">
        <v>82</v>
      </c>
      <c r="I8" s="4" t="s">
        <v>73</v>
      </c>
      <c r="J8" s="4" t="s">
        <v>83</v>
      </c>
      <c r="K8" s="4" t="s">
        <v>84</v>
      </c>
      <c r="L8" s="14" t="s">
        <v>73</v>
      </c>
    </row>
    <row r="9" spans="1:12">
      <c r="A9" s="5">
        <v>8</v>
      </c>
      <c r="B9" s="4" t="s">
        <v>87</v>
      </c>
      <c r="C9" s="14" t="s">
        <v>88</v>
      </c>
      <c r="D9" s="4" t="s">
        <v>70</v>
      </c>
      <c r="E9" s="15">
        <v>2025</v>
      </c>
      <c r="F9" s="16">
        <v>32</v>
      </c>
      <c r="G9" s="4" t="s">
        <v>71</v>
      </c>
      <c r="H9" s="14" t="s">
        <v>82</v>
      </c>
      <c r="I9" s="4" t="s">
        <v>73</v>
      </c>
      <c r="J9" s="4" t="s">
        <v>83</v>
      </c>
      <c r="K9" s="4" t="s">
        <v>84</v>
      </c>
      <c r="L9" s="14" t="s">
        <v>89</v>
      </c>
    </row>
    <row r="10" spans="1:12">
      <c r="A10" s="5">
        <v>9</v>
      </c>
      <c r="B10" s="4" t="s">
        <v>90</v>
      </c>
      <c r="C10" s="14" t="s">
        <v>91</v>
      </c>
      <c r="D10" s="4" t="s">
        <v>70</v>
      </c>
      <c r="E10" s="15">
        <v>2025</v>
      </c>
      <c r="F10" s="16">
        <v>91</v>
      </c>
      <c r="G10" s="4" t="s">
        <v>71</v>
      </c>
      <c r="H10" s="14" t="s">
        <v>82</v>
      </c>
      <c r="I10" s="4" t="s">
        <v>73</v>
      </c>
      <c r="J10" s="4" t="s">
        <v>83</v>
      </c>
      <c r="K10" s="4" t="s">
        <v>73</v>
      </c>
      <c r="L10" s="14" t="s">
        <v>73</v>
      </c>
    </row>
    <row r="11" spans="1:12">
      <c r="A11" s="5">
        <v>10</v>
      </c>
      <c r="B11" s="4" t="s">
        <v>92</v>
      </c>
      <c r="C11" s="14" t="s">
        <v>93</v>
      </c>
      <c r="D11" s="4" t="s">
        <v>70</v>
      </c>
      <c r="E11" s="15">
        <v>2025</v>
      </c>
      <c r="F11" s="16">
        <v>93</v>
      </c>
      <c r="G11" s="4" t="s">
        <v>71</v>
      </c>
      <c r="H11" s="14" t="s">
        <v>94</v>
      </c>
      <c r="I11" s="4" t="s">
        <v>73</v>
      </c>
      <c r="J11" s="4" t="s">
        <v>83</v>
      </c>
      <c r="K11" s="4" t="s">
        <v>73</v>
      </c>
      <c r="L11" s="14" t="s">
        <v>95</v>
      </c>
    </row>
    <row r="12" spans="1:12">
      <c r="A12" s="5">
        <v>11</v>
      </c>
      <c r="B12" s="4" t="s">
        <v>96</v>
      </c>
      <c r="C12" s="14" t="s">
        <v>97</v>
      </c>
      <c r="D12" s="4" t="s">
        <v>70</v>
      </c>
      <c r="E12" s="15">
        <v>2019</v>
      </c>
      <c r="F12" s="16">
        <v>12</v>
      </c>
      <c r="G12" s="4" t="s">
        <v>71</v>
      </c>
      <c r="H12" s="14" t="s">
        <v>98</v>
      </c>
      <c r="I12" s="4" t="s">
        <v>73</v>
      </c>
      <c r="J12" s="4" t="s">
        <v>83</v>
      </c>
      <c r="K12" s="4" t="s">
        <v>73</v>
      </c>
      <c r="L12" s="14" t="s">
        <v>99</v>
      </c>
    </row>
    <row r="13" spans="1:12">
      <c r="A13" s="5">
        <v>12</v>
      </c>
      <c r="B13" s="4" t="s">
        <v>96</v>
      </c>
      <c r="C13" s="14" t="s">
        <v>97</v>
      </c>
      <c r="D13" s="4" t="s">
        <v>70</v>
      </c>
      <c r="E13" s="15">
        <v>2023</v>
      </c>
      <c r="F13" s="16">
        <v>41</v>
      </c>
      <c r="G13" s="4" t="s">
        <v>71</v>
      </c>
      <c r="H13" s="14" t="s">
        <v>98</v>
      </c>
      <c r="I13" s="4" t="s">
        <v>73</v>
      </c>
      <c r="J13" s="4" t="s">
        <v>83</v>
      </c>
      <c r="K13" s="4" t="s">
        <v>73</v>
      </c>
      <c r="L13" s="14" t="s">
        <v>99</v>
      </c>
    </row>
    <row r="14" spans="1:12">
      <c r="A14" s="5">
        <v>13</v>
      </c>
      <c r="B14" s="4" t="s">
        <v>96</v>
      </c>
      <c r="C14" s="14" t="s">
        <v>97</v>
      </c>
      <c r="D14" s="4" t="s">
        <v>70</v>
      </c>
      <c r="E14" s="15">
        <v>2025</v>
      </c>
      <c r="F14" s="16">
        <v>51</v>
      </c>
      <c r="G14" s="4" t="s">
        <v>71</v>
      </c>
      <c r="H14" s="14" t="s">
        <v>98</v>
      </c>
      <c r="I14" s="4" t="s">
        <v>73</v>
      </c>
      <c r="J14" s="4" t="s">
        <v>83</v>
      </c>
      <c r="K14" s="4" t="s">
        <v>73</v>
      </c>
      <c r="L14" s="14" t="s">
        <v>99</v>
      </c>
    </row>
    <row r="15" spans="1:12">
      <c r="A15" s="5">
        <v>14</v>
      </c>
      <c r="B15" s="4" t="s">
        <v>100</v>
      </c>
      <c r="C15" s="14" t="s">
        <v>101</v>
      </c>
      <c r="D15" s="4" t="s">
        <v>70</v>
      </c>
      <c r="E15" s="15">
        <v>2004</v>
      </c>
      <c r="F15" s="5">
        <v>2025</v>
      </c>
      <c r="G15" s="4" t="s">
        <v>102</v>
      </c>
      <c r="H15" s="14" t="s">
        <v>103</v>
      </c>
      <c r="I15" s="4" t="s">
        <v>73</v>
      </c>
      <c r="J15" s="4" t="s">
        <v>104</v>
      </c>
      <c r="K15" s="4" t="s">
        <v>105</v>
      </c>
      <c r="L15" s="14" t="s">
        <v>73</v>
      </c>
    </row>
    <row r="16" spans="1:12">
      <c r="A16" s="5">
        <v>15</v>
      </c>
      <c r="B16" s="4" t="s">
        <v>100</v>
      </c>
      <c r="C16" s="14" t="s">
        <v>101</v>
      </c>
      <c r="D16" s="4" t="s">
        <v>70</v>
      </c>
      <c r="E16" s="15">
        <v>2006</v>
      </c>
      <c r="F16" s="5">
        <v>1975</v>
      </c>
      <c r="G16" s="4" t="s">
        <v>102</v>
      </c>
      <c r="H16" s="14" t="s">
        <v>103</v>
      </c>
      <c r="I16" s="4" t="s">
        <v>73</v>
      </c>
      <c r="J16" s="4" t="s">
        <v>104</v>
      </c>
      <c r="K16" s="4" t="s">
        <v>105</v>
      </c>
      <c r="L16" s="14" t="s">
        <v>73</v>
      </c>
    </row>
    <row r="17" spans="1:12">
      <c r="A17" s="5">
        <v>16</v>
      </c>
      <c r="B17" s="4" t="s">
        <v>100</v>
      </c>
      <c r="C17" s="14" t="s">
        <v>101</v>
      </c>
      <c r="D17" s="4" t="s">
        <v>70</v>
      </c>
      <c r="E17" s="15">
        <v>2010</v>
      </c>
      <c r="F17" s="5">
        <v>1598</v>
      </c>
      <c r="G17" s="4" t="s">
        <v>102</v>
      </c>
      <c r="H17" s="14" t="s">
        <v>103</v>
      </c>
      <c r="I17" s="4" t="s">
        <v>73</v>
      </c>
      <c r="J17" s="4" t="s">
        <v>104</v>
      </c>
      <c r="K17" s="4" t="s">
        <v>105</v>
      </c>
      <c r="L17" s="14" t="s">
        <v>73</v>
      </c>
    </row>
    <row r="18" spans="1:12">
      <c r="A18" s="5">
        <v>17</v>
      </c>
      <c r="B18" s="4" t="s">
        <v>100</v>
      </c>
      <c r="C18" s="14" t="s">
        <v>101</v>
      </c>
      <c r="D18" s="4" t="s">
        <v>70</v>
      </c>
      <c r="E18" s="15">
        <v>2016</v>
      </c>
      <c r="F18" s="5">
        <v>948</v>
      </c>
      <c r="G18" s="4" t="s">
        <v>102</v>
      </c>
      <c r="H18" s="14" t="s">
        <v>103</v>
      </c>
      <c r="I18" s="4" t="s">
        <v>73</v>
      </c>
      <c r="J18" s="4" t="s">
        <v>104</v>
      </c>
      <c r="K18" s="4" t="s">
        <v>105</v>
      </c>
      <c r="L18" s="14" t="s">
        <v>73</v>
      </c>
    </row>
    <row r="19" spans="1:12">
      <c r="A19" s="5">
        <v>18</v>
      </c>
      <c r="B19" s="4" t="s">
        <v>100</v>
      </c>
      <c r="C19" s="14" t="s">
        <v>101</v>
      </c>
      <c r="D19" s="4" t="s">
        <v>70</v>
      </c>
      <c r="E19" s="15">
        <v>2021</v>
      </c>
      <c r="F19" s="5">
        <v>701</v>
      </c>
      <c r="G19" s="4" t="s">
        <v>102</v>
      </c>
      <c r="H19" s="14" t="s">
        <v>103</v>
      </c>
      <c r="I19" s="4" t="s">
        <v>73</v>
      </c>
      <c r="J19" s="4" t="s">
        <v>104</v>
      </c>
      <c r="K19" s="4" t="s">
        <v>105</v>
      </c>
      <c r="L19" s="14" t="s">
        <v>73</v>
      </c>
    </row>
    <row r="20" spans="1:12">
      <c r="A20" s="5">
        <v>19</v>
      </c>
      <c r="B20" s="4" t="s">
        <v>100</v>
      </c>
      <c r="C20" s="14" t="s">
        <v>101</v>
      </c>
      <c r="D20" s="4" t="s">
        <v>70</v>
      </c>
      <c r="E20" s="15">
        <v>2024</v>
      </c>
      <c r="F20" s="5">
        <v>665</v>
      </c>
      <c r="G20" s="4" t="s">
        <v>102</v>
      </c>
      <c r="H20" s="14" t="s">
        <v>103</v>
      </c>
      <c r="I20" s="4" t="s">
        <v>73</v>
      </c>
      <c r="J20" s="4" t="s">
        <v>104</v>
      </c>
      <c r="K20" s="4" t="s">
        <v>105</v>
      </c>
      <c r="L20" s="14" t="s">
        <v>73</v>
      </c>
    </row>
    <row r="21" spans="1:12">
      <c r="A21" s="5">
        <v>20</v>
      </c>
      <c r="B21" s="4" t="s">
        <v>106</v>
      </c>
      <c r="C21" s="14" t="s">
        <v>107</v>
      </c>
      <c r="D21" s="4" t="s">
        <v>70</v>
      </c>
      <c r="E21" s="15">
        <v>1991</v>
      </c>
      <c r="F21" s="5">
        <v>219</v>
      </c>
      <c r="G21" s="4" t="s">
        <v>102</v>
      </c>
      <c r="H21" s="14" t="s">
        <v>108</v>
      </c>
      <c r="I21" s="4" t="s">
        <v>73</v>
      </c>
      <c r="J21" s="4" t="s">
        <v>104</v>
      </c>
      <c r="K21" s="4" t="s">
        <v>109</v>
      </c>
      <c r="L21" s="14" t="s">
        <v>73</v>
      </c>
    </row>
    <row r="22" spans="1:12">
      <c r="A22" s="5">
        <v>21</v>
      </c>
      <c r="B22" s="4" t="s">
        <v>106</v>
      </c>
      <c r="C22" s="14" t="s">
        <v>107</v>
      </c>
      <c r="D22" s="4" t="s">
        <v>70</v>
      </c>
      <c r="E22" s="15">
        <v>2024</v>
      </c>
      <c r="F22" s="5">
        <v>51</v>
      </c>
      <c r="G22" s="4" t="s">
        <v>102</v>
      </c>
      <c r="H22" s="14" t="s">
        <v>108</v>
      </c>
      <c r="I22" s="4" t="s">
        <v>73</v>
      </c>
      <c r="J22" s="4" t="s">
        <v>104</v>
      </c>
      <c r="K22" s="4" t="s">
        <v>109</v>
      </c>
      <c r="L22" s="14" t="s">
        <v>73</v>
      </c>
    </row>
    <row r="23" spans="1:12">
      <c r="A23" s="5">
        <v>22</v>
      </c>
      <c r="B23" s="4" t="s">
        <v>110</v>
      </c>
      <c r="C23" s="14" t="s">
        <v>111</v>
      </c>
      <c r="D23" s="4" t="s">
        <v>70</v>
      </c>
      <c r="E23" s="15">
        <v>1991</v>
      </c>
      <c r="F23" s="17">
        <v>51000</v>
      </c>
      <c r="G23" s="4" t="s">
        <v>102</v>
      </c>
      <c r="H23" s="14" t="s">
        <v>112</v>
      </c>
      <c r="I23" s="4" t="s">
        <v>113</v>
      </c>
      <c r="J23" s="4" t="s">
        <v>104</v>
      </c>
      <c r="K23" s="4" t="s">
        <v>109</v>
      </c>
      <c r="L23" s="14" t="s">
        <v>114</v>
      </c>
    </row>
    <row r="24" spans="1:12">
      <c r="A24" s="5">
        <v>23</v>
      </c>
      <c r="B24" s="4" t="s">
        <v>110</v>
      </c>
      <c r="C24" s="14" t="s">
        <v>111</v>
      </c>
      <c r="D24" s="4" t="s">
        <v>70</v>
      </c>
      <c r="E24" s="15">
        <v>2024</v>
      </c>
      <c r="F24" s="17">
        <v>36000</v>
      </c>
      <c r="G24" s="4" t="s">
        <v>102</v>
      </c>
      <c r="H24" s="14" t="s">
        <v>112</v>
      </c>
      <c r="I24" s="4" t="s">
        <v>113</v>
      </c>
      <c r="J24" s="4" t="s">
        <v>104</v>
      </c>
      <c r="K24" s="4" t="s">
        <v>109</v>
      </c>
      <c r="L24" s="14" t="s">
        <v>115</v>
      </c>
    </row>
    <row r="25" spans="1:12">
      <c r="A25" s="5">
        <v>24</v>
      </c>
      <c r="B25" s="4" t="s">
        <v>116</v>
      </c>
      <c r="C25" s="14" t="s">
        <v>117</v>
      </c>
      <c r="D25" s="4" t="s">
        <v>70</v>
      </c>
      <c r="E25" s="15">
        <v>2019</v>
      </c>
      <c r="F25" s="17">
        <v>84</v>
      </c>
      <c r="G25" s="4" t="s">
        <v>71</v>
      </c>
      <c r="H25" s="14" t="s">
        <v>118</v>
      </c>
      <c r="I25" s="4" t="s">
        <v>119</v>
      </c>
      <c r="J25" s="4" t="s">
        <v>120</v>
      </c>
      <c r="K25" s="4" t="s">
        <v>73</v>
      </c>
      <c r="L25" s="14" t="s">
        <v>121</v>
      </c>
    </row>
    <row r="26" spans="1:12">
      <c r="A26" s="5">
        <v>25</v>
      </c>
      <c r="B26" s="4" t="s">
        <v>116</v>
      </c>
      <c r="C26" s="14" t="s">
        <v>117</v>
      </c>
      <c r="D26" s="4" t="s">
        <v>70</v>
      </c>
      <c r="E26" s="15">
        <v>2020</v>
      </c>
      <c r="F26" s="16">
        <v>90</v>
      </c>
      <c r="G26" s="4" t="s">
        <v>71</v>
      </c>
      <c r="H26" s="14" t="s">
        <v>122</v>
      </c>
      <c r="I26" s="4" t="s">
        <v>73</v>
      </c>
      <c r="J26" s="4" t="s">
        <v>123</v>
      </c>
      <c r="K26" s="4" t="s">
        <v>73</v>
      </c>
      <c r="L26" s="14" t="s">
        <v>124</v>
      </c>
    </row>
    <row r="27" spans="1:12">
      <c r="A27" s="5">
        <v>26</v>
      </c>
      <c r="B27" s="4" t="s">
        <v>116</v>
      </c>
      <c r="C27" s="14" t="s">
        <v>117</v>
      </c>
      <c r="D27" s="4" t="s">
        <v>70</v>
      </c>
      <c r="E27" s="15">
        <v>2021</v>
      </c>
      <c r="F27" s="16">
        <v>92</v>
      </c>
      <c r="G27" s="4" t="s">
        <v>71</v>
      </c>
      <c r="H27" s="14" t="s">
        <v>122</v>
      </c>
      <c r="I27" s="4" t="s">
        <v>73</v>
      </c>
      <c r="J27" s="4" t="s">
        <v>125</v>
      </c>
      <c r="K27" s="4" t="s">
        <v>73</v>
      </c>
      <c r="L27" s="14" t="s">
        <v>126</v>
      </c>
    </row>
    <row r="28" spans="1:12">
      <c r="A28" s="5">
        <v>27</v>
      </c>
      <c r="B28" s="4" t="s">
        <v>127</v>
      </c>
      <c r="C28" s="14" t="s">
        <v>117</v>
      </c>
      <c r="D28" s="4" t="s">
        <v>78</v>
      </c>
      <c r="E28" s="15">
        <v>2024</v>
      </c>
      <c r="F28" s="16">
        <v>76.58</v>
      </c>
      <c r="G28" s="4" t="s">
        <v>71</v>
      </c>
      <c r="H28" s="14" t="s">
        <v>122</v>
      </c>
      <c r="I28" s="4" t="s">
        <v>73</v>
      </c>
      <c r="J28" s="4" t="s">
        <v>128</v>
      </c>
      <c r="K28" s="4" t="s">
        <v>73</v>
      </c>
      <c r="L28" s="14" t="s">
        <v>73</v>
      </c>
    </row>
    <row r="29" spans="1:12">
      <c r="A29" s="5">
        <v>28</v>
      </c>
      <c r="B29" s="4" t="s">
        <v>129</v>
      </c>
      <c r="C29" s="14" t="s">
        <v>117</v>
      </c>
      <c r="D29" s="4" t="s">
        <v>130</v>
      </c>
      <c r="E29" s="15">
        <v>2024</v>
      </c>
      <c r="F29" s="16">
        <v>74.18000000000001</v>
      </c>
      <c r="G29" s="4" t="s">
        <v>71</v>
      </c>
      <c r="H29" s="14" t="s">
        <v>122</v>
      </c>
      <c r="I29" s="4" t="s">
        <v>73</v>
      </c>
      <c r="J29" s="4" t="s">
        <v>128</v>
      </c>
      <c r="K29" s="4" t="s">
        <v>73</v>
      </c>
      <c r="L29" s="14" t="s">
        <v>73</v>
      </c>
    </row>
    <row r="30" spans="1:12">
      <c r="A30" s="5">
        <v>29</v>
      </c>
      <c r="B30" s="4" t="s">
        <v>131</v>
      </c>
      <c r="C30" s="14" t="s">
        <v>117</v>
      </c>
      <c r="D30" s="4" t="s">
        <v>132</v>
      </c>
      <c r="E30" s="15">
        <v>2024</v>
      </c>
      <c r="F30" s="16">
        <v>78.98</v>
      </c>
      <c r="G30" s="4" t="s">
        <v>71</v>
      </c>
      <c r="H30" s="14" t="s">
        <v>122</v>
      </c>
      <c r="I30" s="4" t="s">
        <v>73</v>
      </c>
      <c r="J30" s="4" t="s">
        <v>128</v>
      </c>
      <c r="K30" s="4" t="s">
        <v>73</v>
      </c>
      <c r="L30" s="14" t="s">
        <v>73</v>
      </c>
    </row>
    <row r="31" spans="1:12">
      <c r="A31" s="5">
        <v>30</v>
      </c>
      <c r="B31" s="4" t="s">
        <v>133</v>
      </c>
      <c r="C31" s="14" t="s">
        <v>117</v>
      </c>
      <c r="D31" s="4" t="s">
        <v>134</v>
      </c>
      <c r="E31" s="15">
        <v>2024</v>
      </c>
      <c r="F31" s="16">
        <v>57.18</v>
      </c>
      <c r="G31" s="4" t="s">
        <v>71</v>
      </c>
      <c r="H31" s="14" t="s">
        <v>122</v>
      </c>
      <c r="I31" s="4" t="s">
        <v>73</v>
      </c>
      <c r="J31" s="4" t="s">
        <v>128</v>
      </c>
      <c r="K31" s="4" t="s">
        <v>73</v>
      </c>
      <c r="L31" s="14" t="s">
        <v>135</v>
      </c>
    </row>
    <row r="32" spans="1:12">
      <c r="A32" s="5">
        <v>31</v>
      </c>
      <c r="B32" s="4" t="s">
        <v>136</v>
      </c>
      <c r="C32" s="14" t="s">
        <v>117</v>
      </c>
      <c r="D32" s="4" t="s">
        <v>137</v>
      </c>
      <c r="E32" s="15">
        <v>2024</v>
      </c>
      <c r="F32" s="16">
        <v>68.16</v>
      </c>
      <c r="G32" s="4" t="s">
        <v>71</v>
      </c>
      <c r="H32" s="14" t="s">
        <v>122</v>
      </c>
      <c r="I32" s="4" t="s">
        <v>73</v>
      </c>
      <c r="J32" s="4" t="s">
        <v>128</v>
      </c>
      <c r="K32" s="4" t="s">
        <v>73</v>
      </c>
      <c r="L32" s="14" t="s">
        <v>73</v>
      </c>
    </row>
    <row r="33" spans="1:12">
      <c r="A33" s="5">
        <v>32</v>
      </c>
      <c r="B33" s="4" t="s">
        <v>138</v>
      </c>
      <c r="C33" s="14" t="s">
        <v>117</v>
      </c>
      <c r="D33" s="4" t="s">
        <v>139</v>
      </c>
      <c r="E33" s="15">
        <v>2024</v>
      </c>
      <c r="F33" s="16">
        <v>86.20999999999999</v>
      </c>
      <c r="G33" s="4" t="s">
        <v>71</v>
      </c>
      <c r="H33" s="14" t="s">
        <v>122</v>
      </c>
      <c r="I33" s="4" t="s">
        <v>73</v>
      </c>
      <c r="J33" s="4" t="s">
        <v>128</v>
      </c>
      <c r="K33" s="4" t="s">
        <v>73</v>
      </c>
      <c r="L33" s="14" t="s">
        <v>73</v>
      </c>
    </row>
    <row r="34" spans="1:12">
      <c r="A34" s="5">
        <v>33</v>
      </c>
      <c r="B34" s="4" t="s">
        <v>140</v>
      </c>
      <c r="C34" s="14" t="s">
        <v>117</v>
      </c>
      <c r="D34" s="4" t="s">
        <v>141</v>
      </c>
      <c r="E34" s="15">
        <v>2024</v>
      </c>
      <c r="F34" s="16">
        <v>82.53</v>
      </c>
      <c r="G34" s="4" t="s">
        <v>71</v>
      </c>
      <c r="H34" s="14" t="s">
        <v>122</v>
      </c>
      <c r="I34" s="4" t="s">
        <v>73</v>
      </c>
      <c r="J34" s="4" t="s">
        <v>128</v>
      </c>
      <c r="K34" s="4" t="s">
        <v>73</v>
      </c>
      <c r="L34" s="14" t="s">
        <v>142</v>
      </c>
    </row>
    <row r="35" spans="1:12">
      <c r="A35" s="5">
        <v>34</v>
      </c>
      <c r="B35" s="4" t="s">
        <v>116</v>
      </c>
      <c r="C35" s="14" t="s">
        <v>117</v>
      </c>
      <c r="D35" s="4" t="s">
        <v>70</v>
      </c>
      <c r="E35" s="15">
        <v>2024</v>
      </c>
      <c r="F35" s="16">
        <v>90.86</v>
      </c>
      <c r="G35" s="4" t="s">
        <v>71</v>
      </c>
      <c r="H35" s="14" t="s">
        <v>122</v>
      </c>
      <c r="I35" s="4" t="s">
        <v>73</v>
      </c>
      <c r="J35" s="4" t="s">
        <v>128</v>
      </c>
      <c r="K35" s="4" t="s">
        <v>73</v>
      </c>
      <c r="L35" s="14" t="s">
        <v>143</v>
      </c>
    </row>
    <row r="36" spans="1:12">
      <c r="A36" s="5">
        <v>35</v>
      </c>
      <c r="B36" s="4" t="s">
        <v>144</v>
      </c>
      <c r="C36" s="14" t="s">
        <v>117</v>
      </c>
      <c r="D36" s="4" t="s">
        <v>145</v>
      </c>
      <c r="E36" s="15">
        <v>2024</v>
      </c>
      <c r="F36" s="16">
        <v>78.72</v>
      </c>
      <c r="G36" s="4" t="s">
        <v>71</v>
      </c>
      <c r="H36" s="14" t="s">
        <v>122</v>
      </c>
      <c r="I36" s="4" t="s">
        <v>73</v>
      </c>
      <c r="J36" s="4" t="s">
        <v>128</v>
      </c>
      <c r="K36" s="4" t="s">
        <v>73</v>
      </c>
      <c r="L36" s="14" t="s">
        <v>73</v>
      </c>
    </row>
    <row r="37" spans="1:12">
      <c r="A37" s="5">
        <v>36</v>
      </c>
      <c r="B37" s="4" t="s">
        <v>146</v>
      </c>
      <c r="C37" s="14" t="s">
        <v>117</v>
      </c>
      <c r="D37" s="4" t="s">
        <v>147</v>
      </c>
      <c r="E37" s="15">
        <v>2024</v>
      </c>
      <c r="F37" s="16">
        <v>74.66</v>
      </c>
      <c r="G37" s="4" t="s">
        <v>71</v>
      </c>
      <c r="H37" s="14" t="s">
        <v>122</v>
      </c>
      <c r="I37" s="4" t="s">
        <v>73</v>
      </c>
      <c r="J37" s="4" t="s">
        <v>128</v>
      </c>
      <c r="K37" s="4" t="s">
        <v>73</v>
      </c>
      <c r="L37" s="14" t="s">
        <v>73</v>
      </c>
    </row>
    <row r="38" spans="1:12">
      <c r="A38" s="5">
        <v>37</v>
      </c>
      <c r="B38" s="4" t="s">
        <v>148</v>
      </c>
      <c r="C38" s="14" t="s">
        <v>117</v>
      </c>
      <c r="D38" s="4" t="s">
        <v>149</v>
      </c>
      <c r="E38" s="15">
        <v>2024</v>
      </c>
      <c r="F38" s="16">
        <v>71.54000000000001</v>
      </c>
      <c r="G38" s="4" t="s">
        <v>71</v>
      </c>
      <c r="H38" s="14" t="s">
        <v>122</v>
      </c>
      <c r="I38" s="4" t="s">
        <v>73</v>
      </c>
      <c r="J38" s="4" t="s">
        <v>128</v>
      </c>
      <c r="K38" s="4" t="s">
        <v>73</v>
      </c>
      <c r="L38" s="14" t="s">
        <v>73</v>
      </c>
    </row>
    <row r="39" spans="1:12">
      <c r="A39" s="5">
        <v>38</v>
      </c>
      <c r="B39" s="4" t="s">
        <v>150</v>
      </c>
      <c r="C39" s="14" t="s">
        <v>117</v>
      </c>
      <c r="D39" s="4" t="s">
        <v>151</v>
      </c>
      <c r="E39" s="15">
        <v>2024</v>
      </c>
      <c r="F39" s="16">
        <v>80.40000000000001</v>
      </c>
      <c r="G39" s="4" t="s">
        <v>71</v>
      </c>
      <c r="H39" s="14" t="s">
        <v>122</v>
      </c>
      <c r="I39" s="4" t="s">
        <v>73</v>
      </c>
      <c r="J39" s="4" t="s">
        <v>128</v>
      </c>
      <c r="K39" s="4" t="s">
        <v>73</v>
      </c>
      <c r="L39" s="14" t="s">
        <v>73</v>
      </c>
    </row>
    <row r="40" spans="1:12">
      <c r="A40" s="5">
        <v>39</v>
      </c>
      <c r="B40" s="4" t="s">
        <v>152</v>
      </c>
      <c r="C40" s="14" t="s">
        <v>117</v>
      </c>
      <c r="D40" s="4" t="s">
        <v>153</v>
      </c>
      <c r="E40" s="15">
        <v>2024</v>
      </c>
      <c r="F40" s="16">
        <v>84.37</v>
      </c>
      <c r="G40" s="4" t="s">
        <v>71</v>
      </c>
      <c r="H40" s="14" t="s">
        <v>122</v>
      </c>
      <c r="I40" s="4" t="s">
        <v>73</v>
      </c>
      <c r="J40" s="4" t="s">
        <v>128</v>
      </c>
      <c r="K40" s="4" t="s">
        <v>73</v>
      </c>
      <c r="L40" s="14" t="s">
        <v>73</v>
      </c>
    </row>
    <row r="41" spans="1:12">
      <c r="A41" s="5">
        <v>40</v>
      </c>
      <c r="B41" s="4" t="s">
        <v>154</v>
      </c>
      <c r="C41" s="14" t="s">
        <v>117</v>
      </c>
      <c r="D41" s="4" t="s">
        <v>155</v>
      </c>
      <c r="E41" s="15">
        <v>2024</v>
      </c>
      <c r="F41" s="16">
        <v>70.06999999999999</v>
      </c>
      <c r="G41" s="4" t="s">
        <v>71</v>
      </c>
      <c r="H41" s="14" t="s">
        <v>122</v>
      </c>
      <c r="I41" s="4" t="s">
        <v>73</v>
      </c>
      <c r="J41" s="4" t="s">
        <v>128</v>
      </c>
      <c r="K41" s="4" t="s">
        <v>73</v>
      </c>
      <c r="L41" s="14" t="s">
        <v>73</v>
      </c>
    </row>
    <row r="42" spans="1:12">
      <c r="A42" s="5">
        <v>41</v>
      </c>
      <c r="B42" s="4" t="s">
        <v>156</v>
      </c>
      <c r="C42" s="14" t="s">
        <v>117</v>
      </c>
      <c r="D42" s="4" t="s">
        <v>157</v>
      </c>
      <c r="E42" s="15">
        <v>2024</v>
      </c>
      <c r="F42" s="16">
        <v>78.87</v>
      </c>
      <c r="G42" s="4" t="s">
        <v>71</v>
      </c>
      <c r="H42" s="14" t="s">
        <v>122</v>
      </c>
      <c r="I42" s="4" t="s">
        <v>73</v>
      </c>
      <c r="J42" s="4" t="s">
        <v>128</v>
      </c>
      <c r="K42" s="4" t="s">
        <v>73</v>
      </c>
      <c r="L42" s="14" t="s">
        <v>158</v>
      </c>
    </row>
    <row r="43" spans="1:12">
      <c r="A43" s="5">
        <v>42</v>
      </c>
      <c r="B43" s="4" t="s">
        <v>159</v>
      </c>
      <c r="C43" s="14" t="s">
        <v>117</v>
      </c>
      <c r="D43" s="4" t="s">
        <v>160</v>
      </c>
      <c r="E43" s="15">
        <v>2024</v>
      </c>
      <c r="F43" s="16">
        <v>95.79000000000001</v>
      </c>
      <c r="G43" s="4" t="s">
        <v>71</v>
      </c>
      <c r="H43" s="14" t="s">
        <v>122</v>
      </c>
      <c r="I43" s="4" t="s">
        <v>73</v>
      </c>
      <c r="J43" s="4" t="s">
        <v>128</v>
      </c>
      <c r="K43" s="4" t="s">
        <v>73</v>
      </c>
      <c r="L43" s="14" t="s">
        <v>161</v>
      </c>
    </row>
    <row r="44" spans="1:12">
      <c r="A44" s="5">
        <v>43</v>
      </c>
      <c r="B44" s="4" t="s">
        <v>162</v>
      </c>
      <c r="C44" s="14" t="s">
        <v>117</v>
      </c>
      <c r="D44" s="4" t="s">
        <v>163</v>
      </c>
      <c r="E44" s="15">
        <v>2024</v>
      </c>
      <c r="F44" s="16">
        <v>59.6</v>
      </c>
      <c r="G44" s="4" t="s">
        <v>71</v>
      </c>
      <c r="H44" s="14" t="s">
        <v>122</v>
      </c>
      <c r="I44" s="4" t="s">
        <v>73</v>
      </c>
      <c r="J44" s="4" t="s">
        <v>128</v>
      </c>
      <c r="K44" s="4" t="s">
        <v>73</v>
      </c>
      <c r="L44" s="14" t="s">
        <v>164</v>
      </c>
    </row>
    <row r="45" spans="1:12">
      <c r="A45" s="5">
        <v>44</v>
      </c>
      <c r="B45" s="4" t="s">
        <v>165</v>
      </c>
      <c r="C45" s="14" t="s">
        <v>117</v>
      </c>
      <c r="D45" s="4" t="s">
        <v>166</v>
      </c>
      <c r="E45" s="15">
        <v>2024</v>
      </c>
      <c r="F45" s="16">
        <v>71.95999999999999</v>
      </c>
      <c r="G45" s="4" t="s">
        <v>71</v>
      </c>
      <c r="H45" s="14" t="s">
        <v>122</v>
      </c>
      <c r="I45" s="4" t="s">
        <v>73</v>
      </c>
      <c r="J45" s="4" t="s">
        <v>128</v>
      </c>
      <c r="K45" s="4" t="s">
        <v>73</v>
      </c>
      <c r="L45" s="14" t="s">
        <v>167</v>
      </c>
    </row>
    <row r="46" spans="1:12">
      <c r="A46" s="5">
        <v>45</v>
      </c>
      <c r="B46" s="4" t="s">
        <v>168</v>
      </c>
      <c r="C46" s="14" t="s">
        <v>117</v>
      </c>
      <c r="D46" s="4" t="s">
        <v>169</v>
      </c>
      <c r="E46" s="15">
        <v>2024</v>
      </c>
      <c r="F46" s="16">
        <v>81.34</v>
      </c>
      <c r="G46" s="4" t="s">
        <v>71</v>
      </c>
      <c r="H46" s="14" t="s">
        <v>122</v>
      </c>
      <c r="I46" s="4" t="s">
        <v>73</v>
      </c>
      <c r="J46" s="4" t="s">
        <v>128</v>
      </c>
      <c r="K46" s="4" t="s">
        <v>73</v>
      </c>
      <c r="L46" s="14" t="s">
        <v>73</v>
      </c>
    </row>
    <row r="47" spans="1:12">
      <c r="A47" s="5">
        <v>46</v>
      </c>
      <c r="B47" s="4" t="s">
        <v>170</v>
      </c>
      <c r="C47" s="14" t="s">
        <v>117</v>
      </c>
      <c r="D47" s="4" t="s">
        <v>171</v>
      </c>
      <c r="E47" s="15">
        <v>2024</v>
      </c>
      <c r="F47" s="16">
        <v>69.34999999999999</v>
      </c>
      <c r="G47" s="4" t="s">
        <v>71</v>
      </c>
      <c r="H47" s="14" t="s">
        <v>122</v>
      </c>
      <c r="I47" s="4" t="s">
        <v>73</v>
      </c>
      <c r="J47" s="4" t="s">
        <v>128</v>
      </c>
      <c r="K47" s="4" t="s">
        <v>73</v>
      </c>
      <c r="L47" s="14" t="s">
        <v>73</v>
      </c>
    </row>
    <row r="48" spans="1:12">
      <c r="A48" s="5">
        <v>47</v>
      </c>
      <c r="B48" s="4" t="s">
        <v>172</v>
      </c>
      <c r="C48" s="14" t="s">
        <v>117</v>
      </c>
      <c r="D48" s="4" t="s">
        <v>173</v>
      </c>
      <c r="E48" s="15">
        <v>2024</v>
      </c>
      <c r="F48" s="16">
        <v>73.2</v>
      </c>
      <c r="G48" s="4" t="s">
        <v>71</v>
      </c>
      <c r="H48" s="14" t="s">
        <v>122</v>
      </c>
      <c r="I48" s="4" t="s">
        <v>73</v>
      </c>
      <c r="J48" s="4" t="s">
        <v>128</v>
      </c>
      <c r="K48" s="4" t="s">
        <v>73</v>
      </c>
      <c r="L48" s="14" t="s">
        <v>73</v>
      </c>
    </row>
    <row r="49" spans="1:12">
      <c r="A49" s="5">
        <v>48</v>
      </c>
      <c r="B49" s="4" t="s">
        <v>174</v>
      </c>
      <c r="C49" s="14" t="s">
        <v>117</v>
      </c>
      <c r="D49" s="4" t="s">
        <v>175</v>
      </c>
      <c r="E49" s="15">
        <v>2024</v>
      </c>
      <c r="F49" s="16">
        <v>94.42</v>
      </c>
      <c r="G49" s="4" t="s">
        <v>71</v>
      </c>
      <c r="H49" s="14" t="s">
        <v>122</v>
      </c>
      <c r="I49" s="4" t="s">
        <v>73</v>
      </c>
      <c r="J49" s="4" t="s">
        <v>128</v>
      </c>
      <c r="K49" s="4" t="s">
        <v>73</v>
      </c>
      <c r="L49" s="14" t="s">
        <v>176</v>
      </c>
    </row>
    <row r="50" spans="1:12">
      <c r="A50" s="5">
        <v>49</v>
      </c>
      <c r="B50" s="4" t="s">
        <v>177</v>
      </c>
      <c r="C50" s="14" t="s">
        <v>117</v>
      </c>
      <c r="D50" s="4" t="s">
        <v>178</v>
      </c>
      <c r="E50" s="15">
        <v>2024</v>
      </c>
      <c r="F50" s="16">
        <v>75.06999999999999</v>
      </c>
      <c r="G50" s="4" t="s">
        <v>71</v>
      </c>
      <c r="H50" s="14" t="s">
        <v>122</v>
      </c>
      <c r="I50" s="4" t="s">
        <v>73</v>
      </c>
      <c r="J50" s="4" t="s">
        <v>128</v>
      </c>
      <c r="K50" s="4" t="s">
        <v>73</v>
      </c>
      <c r="L50" s="14" t="s">
        <v>73</v>
      </c>
    </row>
    <row r="51" spans="1:12">
      <c r="A51" s="5">
        <v>50</v>
      </c>
      <c r="B51" s="4" t="s">
        <v>179</v>
      </c>
      <c r="C51" s="14" t="s">
        <v>117</v>
      </c>
      <c r="D51" s="4" t="s">
        <v>180</v>
      </c>
      <c r="E51" s="15">
        <v>2024</v>
      </c>
      <c r="F51" s="16">
        <v>66.64</v>
      </c>
      <c r="G51" s="4" t="s">
        <v>71</v>
      </c>
      <c r="H51" s="14" t="s">
        <v>122</v>
      </c>
      <c r="I51" s="4" t="s">
        <v>73</v>
      </c>
      <c r="J51" s="4" t="s">
        <v>128</v>
      </c>
      <c r="K51" s="4" t="s">
        <v>73</v>
      </c>
      <c r="L51" s="14" t="s">
        <v>73</v>
      </c>
    </row>
    <row r="52" spans="1:12">
      <c r="A52" s="5">
        <v>51</v>
      </c>
      <c r="B52" s="4" t="s">
        <v>181</v>
      </c>
      <c r="C52" s="14" t="s">
        <v>117</v>
      </c>
      <c r="D52" s="4" t="s">
        <v>182</v>
      </c>
      <c r="E52" s="15">
        <v>2024</v>
      </c>
      <c r="F52" s="16">
        <v>59.73</v>
      </c>
      <c r="G52" s="4" t="s">
        <v>71</v>
      </c>
      <c r="H52" s="14" t="s">
        <v>122</v>
      </c>
      <c r="I52" s="4" t="s">
        <v>73</v>
      </c>
      <c r="J52" s="4" t="s">
        <v>128</v>
      </c>
      <c r="K52" s="4" t="s">
        <v>73</v>
      </c>
      <c r="L52" s="14" t="s">
        <v>183</v>
      </c>
    </row>
    <row r="53" spans="1:12">
      <c r="A53" s="5">
        <v>52</v>
      </c>
      <c r="B53" s="4" t="s">
        <v>184</v>
      </c>
      <c r="C53" s="14" t="s">
        <v>117</v>
      </c>
      <c r="D53" s="4" t="s">
        <v>185</v>
      </c>
      <c r="E53" s="15">
        <v>2024</v>
      </c>
      <c r="F53" s="16">
        <v>89.89</v>
      </c>
      <c r="G53" s="4" t="s">
        <v>71</v>
      </c>
      <c r="H53" s="14" t="s">
        <v>122</v>
      </c>
      <c r="I53" s="4" t="s">
        <v>73</v>
      </c>
      <c r="J53" s="4" t="s">
        <v>128</v>
      </c>
      <c r="K53" s="4" t="s">
        <v>73</v>
      </c>
      <c r="L53" s="14" t="s">
        <v>73</v>
      </c>
    </row>
    <row r="54" spans="1:12">
      <c r="A54" s="5">
        <v>53</v>
      </c>
      <c r="B54" s="4" t="s">
        <v>186</v>
      </c>
      <c r="C54" s="14" t="s">
        <v>117</v>
      </c>
      <c r="D54" s="4" t="s">
        <v>187</v>
      </c>
      <c r="E54" s="15">
        <v>2024</v>
      </c>
      <c r="F54" s="16">
        <v>72.39</v>
      </c>
      <c r="G54" s="4" t="s">
        <v>71</v>
      </c>
      <c r="H54" s="14" t="s">
        <v>122</v>
      </c>
      <c r="I54" s="4" t="s">
        <v>73</v>
      </c>
      <c r="J54" s="4" t="s">
        <v>128</v>
      </c>
      <c r="K54" s="4" t="s">
        <v>73</v>
      </c>
      <c r="L54" s="14" t="s">
        <v>73</v>
      </c>
    </row>
    <row r="55" spans="1:12">
      <c r="A55" s="5">
        <v>54</v>
      </c>
      <c r="B55" s="4" t="s">
        <v>188</v>
      </c>
      <c r="C55" s="14" t="s">
        <v>117</v>
      </c>
      <c r="D55" s="4" t="s">
        <v>189</v>
      </c>
      <c r="E55" s="15">
        <v>2024</v>
      </c>
      <c r="F55" s="16">
        <v>85.13</v>
      </c>
      <c r="G55" s="4" t="s">
        <v>71</v>
      </c>
      <c r="H55" s="14" t="s">
        <v>122</v>
      </c>
      <c r="I55" s="4" t="s">
        <v>73</v>
      </c>
      <c r="J55" s="4" t="s">
        <v>128</v>
      </c>
      <c r="K55" s="4" t="s">
        <v>73</v>
      </c>
      <c r="L55" s="14" t="s">
        <v>73</v>
      </c>
    </row>
    <row r="56" spans="1:12">
      <c r="A56" s="5">
        <v>55</v>
      </c>
      <c r="B56" s="4" t="s">
        <v>127</v>
      </c>
      <c r="C56" s="14" t="s">
        <v>117</v>
      </c>
      <c r="D56" s="4" t="s">
        <v>78</v>
      </c>
      <c r="E56" s="15">
        <v>2014</v>
      </c>
      <c r="F56" s="16">
        <v>59</v>
      </c>
      <c r="G56" s="4" t="s">
        <v>71</v>
      </c>
      <c r="H56" s="14" t="s">
        <v>122</v>
      </c>
      <c r="I56" s="4" t="s">
        <v>73</v>
      </c>
      <c r="J56" s="4" t="s">
        <v>190</v>
      </c>
      <c r="K56" s="4" t="s">
        <v>73</v>
      </c>
      <c r="L56" s="14" t="s">
        <v>73</v>
      </c>
    </row>
    <row r="57" spans="1:12">
      <c r="A57" s="5">
        <v>56</v>
      </c>
      <c r="B57" s="4" t="s">
        <v>191</v>
      </c>
      <c r="C57" s="14" t="s">
        <v>192</v>
      </c>
      <c r="D57" s="4" t="s">
        <v>70</v>
      </c>
      <c r="E57" s="15">
        <v>2014</v>
      </c>
      <c r="F57" s="16">
        <v>17.05</v>
      </c>
      <c r="G57" s="4" t="s">
        <v>71</v>
      </c>
      <c r="H57" s="14" t="s">
        <v>193</v>
      </c>
      <c r="I57" s="4" t="s">
        <v>73</v>
      </c>
      <c r="J57" s="4" t="s">
        <v>194</v>
      </c>
      <c r="K57" s="4" t="s">
        <v>195</v>
      </c>
      <c r="L57" s="14" t="s">
        <v>73</v>
      </c>
    </row>
    <row r="58" spans="1:12">
      <c r="A58" s="5">
        <v>57</v>
      </c>
      <c r="B58" s="4" t="s">
        <v>191</v>
      </c>
      <c r="C58" s="14" t="s">
        <v>192</v>
      </c>
      <c r="D58" s="4" t="s">
        <v>70</v>
      </c>
      <c r="E58" s="15">
        <v>2024</v>
      </c>
      <c r="F58" s="16">
        <v>33.31</v>
      </c>
      <c r="G58" s="4" t="s">
        <v>71</v>
      </c>
      <c r="H58" s="14" t="s">
        <v>193</v>
      </c>
      <c r="I58" s="4" t="s">
        <v>73</v>
      </c>
      <c r="J58" s="4" t="s">
        <v>194</v>
      </c>
      <c r="K58" s="4" t="s">
        <v>195</v>
      </c>
      <c r="L58" s="14" t="s">
        <v>196</v>
      </c>
    </row>
    <row r="59" spans="1:12">
      <c r="A59" s="5">
        <v>58</v>
      </c>
      <c r="B59" s="4" t="s">
        <v>197</v>
      </c>
      <c r="C59" s="14" t="s">
        <v>192</v>
      </c>
      <c r="D59" s="4" t="s">
        <v>78</v>
      </c>
      <c r="E59" s="15">
        <v>2014</v>
      </c>
      <c r="F59" s="16">
        <v>16.43</v>
      </c>
      <c r="G59" s="4" t="s">
        <v>71</v>
      </c>
      <c r="H59" s="14" t="s">
        <v>193</v>
      </c>
      <c r="I59" s="4" t="s">
        <v>73</v>
      </c>
      <c r="J59" s="4" t="s">
        <v>194</v>
      </c>
      <c r="K59" s="4" t="s">
        <v>195</v>
      </c>
      <c r="L59" s="14" t="s">
        <v>73</v>
      </c>
    </row>
    <row r="60" spans="1:12">
      <c r="A60" s="5">
        <v>59</v>
      </c>
      <c r="B60" s="4" t="s">
        <v>197</v>
      </c>
      <c r="C60" s="14" t="s">
        <v>192</v>
      </c>
      <c r="D60" s="4" t="s">
        <v>78</v>
      </c>
      <c r="E60" s="15">
        <v>2024</v>
      </c>
      <c r="F60" s="16">
        <v>19.49</v>
      </c>
      <c r="G60" s="4" t="s">
        <v>71</v>
      </c>
      <c r="H60" s="14" t="s">
        <v>193</v>
      </c>
      <c r="I60" s="4" t="s">
        <v>73</v>
      </c>
      <c r="J60" s="4" t="s">
        <v>194</v>
      </c>
      <c r="K60" s="4" t="s">
        <v>195</v>
      </c>
      <c r="L60" s="14" t="s">
        <v>73</v>
      </c>
    </row>
    <row r="61" spans="1:12">
      <c r="A61" s="5">
        <v>60</v>
      </c>
      <c r="B61" s="4" t="s">
        <v>198</v>
      </c>
      <c r="C61" s="14" t="s">
        <v>192</v>
      </c>
      <c r="D61" s="4" t="s">
        <v>160</v>
      </c>
      <c r="E61" s="15">
        <v>2024</v>
      </c>
      <c r="F61" s="16">
        <v>38.25</v>
      </c>
      <c r="G61" s="4" t="s">
        <v>71</v>
      </c>
      <c r="H61" s="14" t="s">
        <v>193</v>
      </c>
      <c r="I61" s="4" t="s">
        <v>73</v>
      </c>
      <c r="J61" s="4" t="s">
        <v>194</v>
      </c>
      <c r="K61" s="4" t="s">
        <v>73</v>
      </c>
      <c r="L61" s="14" t="s">
        <v>199</v>
      </c>
    </row>
    <row r="62" spans="1:12">
      <c r="A62" s="5">
        <v>61</v>
      </c>
      <c r="B62" s="4" t="s">
        <v>200</v>
      </c>
      <c r="C62" s="14" t="s">
        <v>192</v>
      </c>
      <c r="D62" s="4" t="s">
        <v>132</v>
      </c>
      <c r="E62" s="15">
        <v>2024</v>
      </c>
      <c r="F62" s="17">
        <v>29.51</v>
      </c>
      <c r="G62" s="4" t="s">
        <v>71</v>
      </c>
      <c r="H62" s="14" t="s">
        <v>193</v>
      </c>
      <c r="I62" s="4" t="s">
        <v>201</v>
      </c>
      <c r="J62" s="4" t="s">
        <v>202</v>
      </c>
      <c r="K62" s="4" t="s">
        <v>73</v>
      </c>
      <c r="L62" s="14" t="s">
        <v>73</v>
      </c>
    </row>
    <row r="63" spans="1:12">
      <c r="A63" s="5">
        <v>62</v>
      </c>
      <c r="B63" s="4" t="s">
        <v>203</v>
      </c>
      <c r="C63" s="14" t="s">
        <v>192</v>
      </c>
      <c r="D63" s="4" t="s">
        <v>185</v>
      </c>
      <c r="E63" s="15">
        <v>2024</v>
      </c>
      <c r="F63" s="17">
        <v>26.32</v>
      </c>
      <c r="G63" s="4" t="s">
        <v>71</v>
      </c>
      <c r="H63" s="14" t="s">
        <v>193</v>
      </c>
      <c r="I63" s="4" t="s">
        <v>201</v>
      </c>
      <c r="J63" s="4" t="s">
        <v>202</v>
      </c>
      <c r="K63" s="4" t="s">
        <v>73</v>
      </c>
      <c r="L63" s="14" t="s">
        <v>73</v>
      </c>
    </row>
    <row r="64" spans="1:12">
      <c r="A64" s="5">
        <v>63</v>
      </c>
      <c r="B64" s="4" t="s">
        <v>204</v>
      </c>
      <c r="C64" s="14" t="s">
        <v>192</v>
      </c>
      <c r="D64" s="4" t="s">
        <v>139</v>
      </c>
      <c r="E64" s="15">
        <v>2024</v>
      </c>
      <c r="F64" s="17">
        <v>25.65</v>
      </c>
      <c r="G64" s="4" t="s">
        <v>71</v>
      </c>
      <c r="H64" s="14" t="s">
        <v>193</v>
      </c>
      <c r="I64" s="4" t="s">
        <v>201</v>
      </c>
      <c r="J64" s="4" t="s">
        <v>202</v>
      </c>
      <c r="K64" s="4" t="s">
        <v>73</v>
      </c>
      <c r="L64" s="14" t="s">
        <v>73</v>
      </c>
    </row>
    <row r="65" spans="1:12">
      <c r="A65" s="5">
        <v>64</v>
      </c>
      <c r="B65" s="4" t="s">
        <v>205</v>
      </c>
      <c r="C65" s="14" t="s">
        <v>192</v>
      </c>
      <c r="D65" s="4" t="s">
        <v>169</v>
      </c>
      <c r="E65" s="15">
        <v>2024</v>
      </c>
      <c r="F65" s="17">
        <v>23.86</v>
      </c>
      <c r="G65" s="4" t="s">
        <v>71</v>
      </c>
      <c r="H65" s="14" t="s">
        <v>193</v>
      </c>
      <c r="I65" s="4" t="s">
        <v>201</v>
      </c>
      <c r="J65" s="4" t="s">
        <v>202</v>
      </c>
      <c r="K65" s="4" t="s">
        <v>73</v>
      </c>
      <c r="L65" s="14" t="s">
        <v>73</v>
      </c>
    </row>
    <row r="66" spans="1:12">
      <c r="A66" s="5">
        <v>65</v>
      </c>
      <c r="B66" s="4" t="s">
        <v>206</v>
      </c>
      <c r="C66" s="14" t="s">
        <v>192</v>
      </c>
      <c r="D66" s="4" t="s">
        <v>157</v>
      </c>
      <c r="E66" s="15">
        <v>2024</v>
      </c>
      <c r="F66" s="17">
        <v>21.35</v>
      </c>
      <c r="G66" s="4" t="s">
        <v>71</v>
      </c>
      <c r="H66" s="14" t="s">
        <v>193</v>
      </c>
      <c r="I66" s="4" t="s">
        <v>201</v>
      </c>
      <c r="J66" s="4" t="s">
        <v>202</v>
      </c>
      <c r="K66" s="4" t="s">
        <v>73</v>
      </c>
      <c r="L66" s="14" t="s">
        <v>73</v>
      </c>
    </row>
    <row r="67" spans="1:12">
      <c r="A67" s="5">
        <v>66</v>
      </c>
      <c r="B67" s="4" t="s">
        <v>207</v>
      </c>
      <c r="C67" s="14" t="s">
        <v>192</v>
      </c>
      <c r="D67" s="4" t="s">
        <v>141</v>
      </c>
      <c r="E67" s="15">
        <v>2024</v>
      </c>
      <c r="F67" s="17">
        <v>19.05</v>
      </c>
      <c r="G67" s="4" t="s">
        <v>71</v>
      </c>
      <c r="H67" s="14" t="s">
        <v>193</v>
      </c>
      <c r="I67" s="4" t="s">
        <v>201</v>
      </c>
      <c r="J67" s="4" t="s">
        <v>202</v>
      </c>
      <c r="K67" s="4" t="s">
        <v>73</v>
      </c>
      <c r="L67" s="14" t="s">
        <v>73</v>
      </c>
    </row>
    <row r="68" spans="1:12">
      <c r="A68" s="5">
        <v>67</v>
      </c>
      <c r="B68" s="4" t="s">
        <v>208</v>
      </c>
      <c r="C68" s="14" t="s">
        <v>192</v>
      </c>
      <c r="D68" s="4" t="s">
        <v>130</v>
      </c>
      <c r="E68" s="15">
        <v>2024</v>
      </c>
      <c r="F68" s="17">
        <v>18.96</v>
      </c>
      <c r="G68" s="4" t="s">
        <v>71</v>
      </c>
      <c r="H68" s="14" t="s">
        <v>193</v>
      </c>
      <c r="I68" s="4" t="s">
        <v>201</v>
      </c>
      <c r="J68" s="4" t="s">
        <v>202</v>
      </c>
      <c r="K68" s="4" t="s">
        <v>73</v>
      </c>
      <c r="L68" s="14" t="s">
        <v>73</v>
      </c>
    </row>
    <row r="69" spans="1:12">
      <c r="A69" s="5">
        <v>68</v>
      </c>
      <c r="B69" s="4" t="s">
        <v>209</v>
      </c>
      <c r="C69" s="14" t="s">
        <v>192</v>
      </c>
      <c r="D69" s="4" t="s">
        <v>155</v>
      </c>
      <c r="E69" s="15">
        <v>2024</v>
      </c>
      <c r="F69" s="17">
        <v>18.48</v>
      </c>
      <c r="G69" s="4" t="s">
        <v>71</v>
      </c>
      <c r="H69" s="14" t="s">
        <v>193</v>
      </c>
      <c r="I69" s="4" t="s">
        <v>201</v>
      </c>
      <c r="J69" s="4" t="s">
        <v>202</v>
      </c>
      <c r="K69" s="4" t="s">
        <v>73</v>
      </c>
      <c r="L69" s="14" t="s">
        <v>73</v>
      </c>
    </row>
    <row r="70" spans="1:12">
      <c r="A70" s="5">
        <v>69</v>
      </c>
      <c r="B70" s="4" t="s">
        <v>210</v>
      </c>
      <c r="C70" s="14" t="s">
        <v>192</v>
      </c>
      <c r="D70" s="4" t="s">
        <v>149</v>
      </c>
      <c r="E70" s="15">
        <v>2024</v>
      </c>
      <c r="F70" s="17">
        <v>18.27</v>
      </c>
      <c r="G70" s="4" t="s">
        <v>71</v>
      </c>
      <c r="H70" s="14" t="s">
        <v>193</v>
      </c>
      <c r="I70" s="4" t="s">
        <v>201</v>
      </c>
      <c r="J70" s="4" t="s">
        <v>202</v>
      </c>
      <c r="K70" s="4" t="s">
        <v>73</v>
      </c>
      <c r="L70" s="14" t="s">
        <v>73</v>
      </c>
    </row>
    <row r="71" spans="1:12">
      <c r="A71" s="5">
        <v>70</v>
      </c>
      <c r="B71" s="4" t="s">
        <v>211</v>
      </c>
      <c r="C71" s="14" t="s">
        <v>192</v>
      </c>
      <c r="D71" s="4" t="s">
        <v>178</v>
      </c>
      <c r="E71" s="15">
        <v>2024</v>
      </c>
      <c r="F71" s="17">
        <v>17.66</v>
      </c>
      <c r="G71" s="4" t="s">
        <v>71</v>
      </c>
      <c r="H71" s="14" t="s">
        <v>193</v>
      </c>
      <c r="I71" s="4" t="s">
        <v>201</v>
      </c>
      <c r="J71" s="4" t="s">
        <v>202</v>
      </c>
      <c r="K71" s="4" t="s">
        <v>73</v>
      </c>
      <c r="L71" s="14" t="s">
        <v>73</v>
      </c>
    </row>
    <row r="72" spans="1:12">
      <c r="A72" s="5">
        <v>71</v>
      </c>
      <c r="B72" s="4" t="s">
        <v>212</v>
      </c>
      <c r="C72" s="14" t="s">
        <v>192</v>
      </c>
      <c r="D72" s="4" t="s">
        <v>187</v>
      </c>
      <c r="E72" s="15">
        <v>2024</v>
      </c>
      <c r="F72" s="17">
        <v>16.78</v>
      </c>
      <c r="G72" s="4" t="s">
        <v>71</v>
      </c>
      <c r="H72" s="14" t="s">
        <v>193</v>
      </c>
      <c r="I72" s="4" t="s">
        <v>201</v>
      </c>
      <c r="J72" s="4" t="s">
        <v>202</v>
      </c>
      <c r="K72" s="4" t="s">
        <v>73</v>
      </c>
      <c r="L72" s="14" t="s">
        <v>73</v>
      </c>
    </row>
    <row r="73" spans="1:12">
      <c r="A73" s="5">
        <v>72</v>
      </c>
      <c r="B73" s="4" t="s">
        <v>213</v>
      </c>
      <c r="C73" s="14" t="s">
        <v>192</v>
      </c>
      <c r="D73" s="4" t="s">
        <v>163</v>
      </c>
      <c r="E73" s="15">
        <v>2024</v>
      </c>
      <c r="F73" s="17">
        <v>15.66</v>
      </c>
      <c r="G73" s="4" t="s">
        <v>71</v>
      </c>
      <c r="H73" s="14" t="s">
        <v>193</v>
      </c>
      <c r="I73" s="4" t="s">
        <v>201</v>
      </c>
      <c r="J73" s="4" t="s">
        <v>202</v>
      </c>
      <c r="K73" s="4" t="s">
        <v>73</v>
      </c>
      <c r="L73" s="14" t="s">
        <v>73</v>
      </c>
    </row>
    <row r="74" spans="1:12">
      <c r="A74" s="5">
        <v>73</v>
      </c>
      <c r="B74" s="4" t="s">
        <v>214</v>
      </c>
      <c r="C74" s="14" t="s">
        <v>192</v>
      </c>
      <c r="D74" s="4" t="s">
        <v>173</v>
      </c>
      <c r="E74" s="15">
        <v>2024</v>
      </c>
      <c r="F74" s="17">
        <v>15.46</v>
      </c>
      <c r="G74" s="4" t="s">
        <v>71</v>
      </c>
      <c r="H74" s="14" t="s">
        <v>193</v>
      </c>
      <c r="I74" s="4" t="s">
        <v>201</v>
      </c>
      <c r="J74" s="4" t="s">
        <v>202</v>
      </c>
      <c r="K74" s="4" t="s">
        <v>73</v>
      </c>
      <c r="L74" s="14" t="s">
        <v>73</v>
      </c>
    </row>
    <row r="75" spans="1:12">
      <c r="A75" s="5">
        <v>74</v>
      </c>
      <c r="B75" s="4" t="s">
        <v>215</v>
      </c>
      <c r="C75" s="14" t="s">
        <v>192</v>
      </c>
      <c r="D75" s="4" t="s">
        <v>153</v>
      </c>
      <c r="E75" s="15">
        <v>2024</v>
      </c>
      <c r="F75" s="17">
        <v>14.25</v>
      </c>
      <c r="G75" s="4" t="s">
        <v>71</v>
      </c>
      <c r="H75" s="14" t="s">
        <v>193</v>
      </c>
      <c r="I75" s="4" t="s">
        <v>201</v>
      </c>
      <c r="J75" s="4" t="s">
        <v>202</v>
      </c>
      <c r="K75" s="4" t="s">
        <v>73</v>
      </c>
      <c r="L75" s="14" t="s">
        <v>73</v>
      </c>
    </row>
    <row r="76" spans="1:12">
      <c r="A76" s="5">
        <v>75</v>
      </c>
      <c r="B76" s="4" t="s">
        <v>216</v>
      </c>
      <c r="C76" s="14" t="s">
        <v>192</v>
      </c>
      <c r="D76" s="4" t="s">
        <v>137</v>
      </c>
      <c r="E76" s="15">
        <v>2024</v>
      </c>
      <c r="F76" s="17">
        <v>13.36</v>
      </c>
      <c r="G76" s="4" t="s">
        <v>71</v>
      </c>
      <c r="H76" s="14" t="s">
        <v>193</v>
      </c>
      <c r="I76" s="4" t="s">
        <v>201</v>
      </c>
      <c r="J76" s="4" t="s">
        <v>202</v>
      </c>
      <c r="K76" s="4" t="s">
        <v>73</v>
      </c>
      <c r="L76" s="14" t="s">
        <v>73</v>
      </c>
    </row>
    <row r="77" spans="1:12">
      <c r="A77" s="5">
        <v>76</v>
      </c>
      <c r="B77" s="4" t="s">
        <v>217</v>
      </c>
      <c r="C77" s="14" t="s">
        <v>192</v>
      </c>
      <c r="D77" s="4" t="s">
        <v>134</v>
      </c>
      <c r="E77" s="15">
        <v>2024</v>
      </c>
      <c r="F77" s="17">
        <v>7.63</v>
      </c>
      <c r="G77" s="4" t="s">
        <v>71</v>
      </c>
      <c r="H77" s="14" t="s">
        <v>193</v>
      </c>
      <c r="I77" s="4" t="s">
        <v>201</v>
      </c>
      <c r="J77" s="4" t="s">
        <v>202</v>
      </c>
      <c r="K77" s="4" t="s">
        <v>73</v>
      </c>
      <c r="L77" s="14" t="s">
        <v>73</v>
      </c>
    </row>
    <row r="78" spans="1:12">
      <c r="A78" s="5">
        <v>77</v>
      </c>
      <c r="B78" s="4" t="s">
        <v>218</v>
      </c>
      <c r="C78" s="14" t="s">
        <v>219</v>
      </c>
      <c r="D78" s="4" t="s">
        <v>70</v>
      </c>
      <c r="E78" s="15">
        <v>2024</v>
      </c>
      <c r="F78" s="16">
        <v>38.78</v>
      </c>
      <c r="G78" s="4" t="s">
        <v>71</v>
      </c>
      <c r="H78" s="14" t="s">
        <v>220</v>
      </c>
      <c r="I78" s="4" t="s">
        <v>73</v>
      </c>
      <c r="J78" s="4" t="s">
        <v>194</v>
      </c>
      <c r="K78" s="4" t="s">
        <v>73</v>
      </c>
      <c r="L78" s="14" t="s">
        <v>221</v>
      </c>
    </row>
    <row r="79" spans="1:12">
      <c r="A79" s="5">
        <v>78</v>
      </c>
      <c r="B79" s="4" t="s">
        <v>222</v>
      </c>
      <c r="C79" s="14" t="s">
        <v>219</v>
      </c>
      <c r="D79" s="4" t="s">
        <v>166</v>
      </c>
      <c r="E79" s="15">
        <v>2024</v>
      </c>
      <c r="F79" s="16">
        <v>43.03</v>
      </c>
      <c r="G79" s="4" t="s">
        <v>71</v>
      </c>
      <c r="H79" s="14" t="s">
        <v>220</v>
      </c>
      <c r="I79" s="4" t="s">
        <v>73</v>
      </c>
      <c r="J79" s="4" t="s">
        <v>194</v>
      </c>
      <c r="K79" s="4" t="s">
        <v>73</v>
      </c>
      <c r="L79" s="14" t="s">
        <v>199</v>
      </c>
    </row>
    <row r="80" spans="1:12">
      <c r="A80" s="5">
        <v>79</v>
      </c>
      <c r="B80" s="4" t="s">
        <v>223</v>
      </c>
      <c r="C80" s="14" t="s">
        <v>224</v>
      </c>
      <c r="D80" s="4" t="s">
        <v>70</v>
      </c>
      <c r="E80" s="15">
        <v>2025</v>
      </c>
      <c r="F80" s="16">
        <v>5</v>
      </c>
      <c r="G80" s="4" t="s">
        <v>71</v>
      </c>
      <c r="H80" s="14" t="s">
        <v>225</v>
      </c>
      <c r="I80" s="4" t="s">
        <v>73</v>
      </c>
      <c r="J80" s="4" t="s">
        <v>226</v>
      </c>
      <c r="K80" s="4" t="s">
        <v>227</v>
      </c>
      <c r="L80" s="14" t="s">
        <v>228</v>
      </c>
    </row>
    <row r="81" spans="1:12">
      <c r="A81" s="5">
        <v>80</v>
      </c>
      <c r="B81" s="4" t="s">
        <v>223</v>
      </c>
      <c r="C81" s="14" t="s">
        <v>224</v>
      </c>
      <c r="D81" s="4" t="s">
        <v>70</v>
      </c>
      <c r="E81" s="15">
        <v>2026</v>
      </c>
      <c r="F81" s="16">
        <v>4.7</v>
      </c>
      <c r="G81" s="4" t="s">
        <v>71</v>
      </c>
      <c r="H81" s="14" t="s">
        <v>225</v>
      </c>
      <c r="I81" s="4" t="s">
        <v>73</v>
      </c>
      <c r="J81" s="4" t="s">
        <v>226</v>
      </c>
      <c r="K81" s="4" t="s">
        <v>227</v>
      </c>
      <c r="L81" s="14" t="s">
        <v>229</v>
      </c>
    </row>
    <row r="82" spans="1:12">
      <c r="A82" s="5">
        <v>81</v>
      </c>
      <c r="B82" s="4" t="s">
        <v>230</v>
      </c>
      <c r="C82" s="14" t="s">
        <v>231</v>
      </c>
      <c r="D82" s="4" t="s">
        <v>70</v>
      </c>
      <c r="E82" s="15">
        <v>2022</v>
      </c>
      <c r="F82" s="17">
        <v>20</v>
      </c>
      <c r="G82" s="4" t="s">
        <v>71</v>
      </c>
      <c r="H82" s="14" t="s">
        <v>232</v>
      </c>
      <c r="I82" s="4" t="s">
        <v>113</v>
      </c>
      <c r="J82" s="4" t="s">
        <v>226</v>
      </c>
      <c r="K82" s="4" t="s">
        <v>73</v>
      </c>
      <c r="L82" s="14" t="s">
        <v>233</v>
      </c>
    </row>
    <row r="83" spans="1:12">
      <c r="A83" s="5">
        <v>82</v>
      </c>
      <c r="B83" s="4" t="s">
        <v>234</v>
      </c>
      <c r="C83" s="14" t="s">
        <v>235</v>
      </c>
      <c r="D83" s="4" t="s">
        <v>70</v>
      </c>
      <c r="E83" s="15">
        <v>2022</v>
      </c>
      <c r="F83" s="17">
        <v>33</v>
      </c>
      <c r="G83" s="4" t="s">
        <v>71</v>
      </c>
      <c r="H83" s="14" t="s">
        <v>232</v>
      </c>
      <c r="I83" s="4" t="s">
        <v>113</v>
      </c>
      <c r="J83" s="4" t="s">
        <v>226</v>
      </c>
      <c r="K83" s="4" t="s">
        <v>73</v>
      </c>
      <c r="L83" s="14" t="s">
        <v>236</v>
      </c>
    </row>
    <row r="84" spans="1:12">
      <c r="A84" s="5">
        <v>83</v>
      </c>
      <c r="B84" s="4" t="s">
        <v>237</v>
      </c>
      <c r="C84" s="14" t="s">
        <v>238</v>
      </c>
      <c r="D84" s="4" t="s">
        <v>70</v>
      </c>
      <c r="E84" s="15">
        <v>2026</v>
      </c>
      <c r="F84" s="16">
        <v>6.5</v>
      </c>
      <c r="G84" s="4" t="s">
        <v>71</v>
      </c>
      <c r="H84" s="14" t="s">
        <v>239</v>
      </c>
      <c r="I84" s="4" t="s">
        <v>73</v>
      </c>
      <c r="J84" s="4" t="s">
        <v>240</v>
      </c>
      <c r="K84" s="4" t="s">
        <v>227</v>
      </c>
      <c r="L84" s="14" t="s">
        <v>241</v>
      </c>
    </row>
    <row r="85" spans="1:12">
      <c r="A85" s="5">
        <v>84</v>
      </c>
      <c r="B85" s="4" t="s">
        <v>242</v>
      </c>
      <c r="C85" s="14" t="s">
        <v>243</v>
      </c>
      <c r="D85" s="4" t="s">
        <v>70</v>
      </c>
      <c r="E85" s="15">
        <v>2026</v>
      </c>
      <c r="F85" s="16">
        <v>16.5</v>
      </c>
      <c r="G85" s="4" t="s">
        <v>71</v>
      </c>
      <c r="H85" s="14" t="s">
        <v>239</v>
      </c>
      <c r="I85" s="4" t="s">
        <v>73</v>
      </c>
      <c r="J85" s="4" t="s">
        <v>240</v>
      </c>
      <c r="K85" s="4" t="s">
        <v>227</v>
      </c>
      <c r="L85" s="14" t="s">
        <v>241</v>
      </c>
    </row>
    <row r="86" spans="1:12">
      <c r="A86" s="5">
        <v>85</v>
      </c>
      <c r="B86" s="4" t="s">
        <v>244</v>
      </c>
      <c r="C86" s="14" t="s">
        <v>245</v>
      </c>
      <c r="D86" s="4" t="s">
        <v>70</v>
      </c>
      <c r="E86" s="15">
        <v>2025</v>
      </c>
      <c r="F86" s="17">
        <v>17</v>
      </c>
      <c r="G86" s="4" t="s">
        <v>71</v>
      </c>
      <c r="H86" s="14" t="s">
        <v>246</v>
      </c>
      <c r="I86" s="4" t="s">
        <v>113</v>
      </c>
      <c r="J86" s="4" t="s">
        <v>247</v>
      </c>
      <c r="K86" s="4" t="s">
        <v>248</v>
      </c>
      <c r="L86" s="14" t="s">
        <v>249</v>
      </c>
    </row>
    <row r="87" spans="1:12">
      <c r="A87" s="5">
        <v>86</v>
      </c>
      <c r="B87" s="4" t="s">
        <v>250</v>
      </c>
      <c r="C87" s="14" t="s">
        <v>251</v>
      </c>
      <c r="D87" s="4" t="s">
        <v>70</v>
      </c>
      <c r="E87" s="15">
        <v>2025</v>
      </c>
      <c r="F87" s="17">
        <v>22</v>
      </c>
      <c r="G87" s="4" t="s">
        <v>71</v>
      </c>
      <c r="H87" s="14" t="s">
        <v>246</v>
      </c>
      <c r="I87" s="4" t="s">
        <v>113</v>
      </c>
      <c r="J87" s="4" t="s">
        <v>247</v>
      </c>
      <c r="K87" s="4" t="s">
        <v>248</v>
      </c>
      <c r="L87" s="14" t="s">
        <v>249</v>
      </c>
    </row>
    <row r="88" spans="1:12">
      <c r="A88" s="5">
        <v>87</v>
      </c>
      <c r="B88" s="4" t="s">
        <v>252</v>
      </c>
      <c r="C88" s="14" t="s">
        <v>253</v>
      </c>
      <c r="D88" s="4" t="s">
        <v>70</v>
      </c>
      <c r="E88" s="15">
        <v>2022</v>
      </c>
      <c r="F88" s="17">
        <v>25</v>
      </c>
      <c r="G88" s="4" t="s">
        <v>71</v>
      </c>
      <c r="H88" s="14" t="s">
        <v>246</v>
      </c>
      <c r="I88" s="4" t="s">
        <v>113</v>
      </c>
      <c r="J88" s="4" t="s">
        <v>254</v>
      </c>
      <c r="K88" s="4" t="s">
        <v>248</v>
      </c>
      <c r="L88" s="14" t="s">
        <v>255</v>
      </c>
    </row>
    <row r="89" spans="1:12">
      <c r="A89" s="5">
        <v>88</v>
      </c>
      <c r="B89" s="4" t="s">
        <v>256</v>
      </c>
      <c r="C89" s="14" t="s">
        <v>257</v>
      </c>
      <c r="D89" s="4" t="s">
        <v>70</v>
      </c>
      <c r="E89" s="15">
        <v>2024</v>
      </c>
      <c r="F89" s="16">
        <v>82</v>
      </c>
      <c r="G89" s="4" t="s">
        <v>71</v>
      </c>
      <c r="H89" s="14" t="s">
        <v>239</v>
      </c>
      <c r="I89" s="4" t="s">
        <v>73</v>
      </c>
      <c r="J89" s="4" t="s">
        <v>240</v>
      </c>
      <c r="K89" s="4" t="s">
        <v>73</v>
      </c>
      <c r="L89" s="14" t="s">
        <v>73</v>
      </c>
    </row>
    <row r="90" spans="1:12">
      <c r="A90" s="5">
        <v>89</v>
      </c>
      <c r="B90" s="4" t="s">
        <v>256</v>
      </c>
      <c r="C90" s="14" t="s">
        <v>257</v>
      </c>
      <c r="D90" s="4" t="s">
        <v>70</v>
      </c>
      <c r="E90" s="15">
        <v>2025</v>
      </c>
      <c r="F90" s="16">
        <v>84</v>
      </c>
      <c r="G90" s="4" t="s">
        <v>71</v>
      </c>
      <c r="H90" s="14" t="s">
        <v>239</v>
      </c>
      <c r="I90" s="4" t="s">
        <v>73</v>
      </c>
      <c r="J90" s="4" t="s">
        <v>240</v>
      </c>
      <c r="K90" s="4" t="s">
        <v>73</v>
      </c>
      <c r="L90" s="14" t="s">
        <v>258</v>
      </c>
    </row>
    <row r="91" spans="1:12">
      <c r="A91" s="5">
        <v>90</v>
      </c>
      <c r="B91" s="4" t="s">
        <v>259</v>
      </c>
      <c r="C91" s="14" t="s">
        <v>260</v>
      </c>
      <c r="D91" s="4" t="s">
        <v>70</v>
      </c>
      <c r="E91" s="15">
        <v>2017</v>
      </c>
      <c r="F91" s="16">
        <v>77</v>
      </c>
      <c r="G91" s="4" t="s">
        <v>71</v>
      </c>
      <c r="H91" s="14" t="s">
        <v>239</v>
      </c>
      <c r="I91" s="4" t="s">
        <v>73</v>
      </c>
      <c r="J91" s="4" t="s">
        <v>240</v>
      </c>
      <c r="K91" s="4" t="s">
        <v>73</v>
      </c>
      <c r="L91" s="14" t="s">
        <v>73</v>
      </c>
    </row>
    <row r="92" spans="1:12">
      <c r="A92" s="5">
        <v>91</v>
      </c>
      <c r="B92" s="4" t="s">
        <v>259</v>
      </c>
      <c r="C92" s="14" t="s">
        <v>260</v>
      </c>
      <c r="D92" s="4" t="s">
        <v>70</v>
      </c>
      <c r="E92" s="15">
        <v>2025</v>
      </c>
      <c r="F92" s="16">
        <v>89</v>
      </c>
      <c r="G92" s="4" t="s">
        <v>71</v>
      </c>
      <c r="H92" s="14" t="s">
        <v>239</v>
      </c>
      <c r="I92" s="4" t="s">
        <v>73</v>
      </c>
      <c r="J92" s="4" t="s">
        <v>240</v>
      </c>
      <c r="K92" s="4" t="s">
        <v>73</v>
      </c>
      <c r="L92" s="14" t="s">
        <v>73</v>
      </c>
    </row>
    <row r="93" spans="1:12">
      <c r="A93" s="5">
        <v>92</v>
      </c>
      <c r="B93" s="4" t="s">
        <v>261</v>
      </c>
      <c r="C93" s="14" t="s">
        <v>262</v>
      </c>
      <c r="D93" s="4" t="s">
        <v>70</v>
      </c>
      <c r="E93" s="15">
        <v>2025</v>
      </c>
      <c r="F93" s="16">
        <v>92.06</v>
      </c>
      <c r="G93" s="4" t="s">
        <v>71</v>
      </c>
      <c r="H93" s="14" t="s">
        <v>232</v>
      </c>
      <c r="I93" s="4" t="s">
        <v>73</v>
      </c>
      <c r="J93" s="4" t="s">
        <v>240</v>
      </c>
      <c r="K93" s="4" t="s">
        <v>263</v>
      </c>
      <c r="L93" s="14" t="s">
        <v>264</v>
      </c>
    </row>
    <row r="94" spans="1:12">
      <c r="A94" s="5">
        <v>93</v>
      </c>
      <c r="B94" s="4" t="s">
        <v>265</v>
      </c>
      <c r="C94" s="14" t="s">
        <v>266</v>
      </c>
      <c r="D94" s="4" t="s">
        <v>70</v>
      </c>
      <c r="E94" s="15">
        <v>2025</v>
      </c>
      <c r="F94" s="16">
        <v>86.89</v>
      </c>
      <c r="G94" s="4" t="s">
        <v>71</v>
      </c>
      <c r="H94" s="14" t="s">
        <v>232</v>
      </c>
      <c r="I94" s="4" t="s">
        <v>73</v>
      </c>
      <c r="J94" s="4" t="s">
        <v>240</v>
      </c>
      <c r="K94" s="4" t="s">
        <v>263</v>
      </c>
      <c r="L94" s="14" t="s">
        <v>267</v>
      </c>
    </row>
    <row r="95" spans="1:12">
      <c r="A95" s="5">
        <v>94</v>
      </c>
      <c r="B95" s="4" t="s">
        <v>268</v>
      </c>
      <c r="C95" s="14" t="s">
        <v>269</v>
      </c>
      <c r="D95" s="4" t="s">
        <v>70</v>
      </c>
      <c r="E95" s="15">
        <v>2025</v>
      </c>
      <c r="F95" s="16">
        <v>67.81</v>
      </c>
      <c r="G95" s="4" t="s">
        <v>71</v>
      </c>
      <c r="H95" s="14" t="s">
        <v>232</v>
      </c>
      <c r="I95" s="4" t="s">
        <v>73</v>
      </c>
      <c r="J95" s="4" t="s">
        <v>240</v>
      </c>
      <c r="K95" s="4" t="s">
        <v>263</v>
      </c>
      <c r="L95" s="14" t="s">
        <v>270</v>
      </c>
    </row>
    <row r="96" spans="1:12">
      <c r="A96" s="5">
        <v>95</v>
      </c>
      <c r="B96" s="4" t="s">
        <v>271</v>
      </c>
      <c r="C96" s="14" t="s">
        <v>262</v>
      </c>
      <c r="D96" s="4" t="s">
        <v>78</v>
      </c>
      <c r="E96" s="15">
        <v>2025</v>
      </c>
      <c r="F96" s="16">
        <v>74.55</v>
      </c>
      <c r="G96" s="4" t="s">
        <v>71</v>
      </c>
      <c r="H96" s="14" t="s">
        <v>232</v>
      </c>
      <c r="I96" s="4" t="s">
        <v>73</v>
      </c>
      <c r="J96" s="4" t="s">
        <v>240</v>
      </c>
      <c r="K96" s="4" t="s">
        <v>263</v>
      </c>
      <c r="L96" s="14" t="s">
        <v>272</v>
      </c>
    </row>
    <row r="97" spans="1:12">
      <c r="A97" s="5">
        <v>96</v>
      </c>
      <c r="B97" s="4" t="s">
        <v>273</v>
      </c>
      <c r="C97" s="14" t="s">
        <v>266</v>
      </c>
      <c r="D97" s="4" t="s">
        <v>78</v>
      </c>
      <c r="E97" s="15">
        <v>2025</v>
      </c>
      <c r="F97" s="16">
        <v>68.56999999999999</v>
      </c>
      <c r="G97" s="4" t="s">
        <v>71</v>
      </c>
      <c r="H97" s="14" t="s">
        <v>232</v>
      </c>
      <c r="I97" s="4" t="s">
        <v>73</v>
      </c>
      <c r="J97" s="4" t="s">
        <v>240</v>
      </c>
      <c r="K97" s="4" t="s">
        <v>263</v>
      </c>
      <c r="L97" s="14" t="s">
        <v>274</v>
      </c>
    </row>
    <row r="98" spans="1:12">
      <c r="A98" s="5">
        <v>97</v>
      </c>
      <c r="B98" s="4" t="s">
        <v>275</v>
      </c>
      <c r="C98" s="14" t="s">
        <v>269</v>
      </c>
      <c r="D98" s="4" t="s">
        <v>78</v>
      </c>
      <c r="E98" s="15">
        <v>2025</v>
      </c>
      <c r="F98" s="16">
        <v>42.6</v>
      </c>
      <c r="G98" s="4" t="s">
        <v>71</v>
      </c>
      <c r="H98" s="14" t="s">
        <v>232</v>
      </c>
      <c r="I98" s="4" t="s">
        <v>73</v>
      </c>
      <c r="J98" s="4" t="s">
        <v>240</v>
      </c>
      <c r="K98" s="4" t="s">
        <v>263</v>
      </c>
      <c r="L98" s="14" t="s">
        <v>276</v>
      </c>
    </row>
    <row r="99" spans="1:12">
      <c r="A99" s="5">
        <v>98</v>
      </c>
      <c r="B99" s="4" t="s">
        <v>277</v>
      </c>
      <c r="C99" s="14" t="s">
        <v>278</v>
      </c>
      <c r="D99" s="4" t="s">
        <v>70</v>
      </c>
      <c r="E99" s="15">
        <v>2025</v>
      </c>
      <c r="F99" s="16">
        <v>92.45</v>
      </c>
      <c r="G99" s="4" t="s">
        <v>71</v>
      </c>
      <c r="H99" s="14" t="s">
        <v>279</v>
      </c>
      <c r="I99" s="4" t="s">
        <v>73</v>
      </c>
      <c r="J99" s="4" t="s">
        <v>240</v>
      </c>
      <c r="K99" s="4" t="s">
        <v>73</v>
      </c>
      <c r="L99" s="14" t="s">
        <v>280</v>
      </c>
    </row>
    <row r="100" spans="1:12">
      <c r="A100" s="5">
        <v>99</v>
      </c>
      <c r="B100" s="4" t="s">
        <v>281</v>
      </c>
      <c r="C100" s="14" t="s">
        <v>278</v>
      </c>
      <c r="D100" s="4" t="s">
        <v>78</v>
      </c>
      <c r="E100" s="15">
        <v>2025</v>
      </c>
      <c r="F100" s="16">
        <v>71.39</v>
      </c>
      <c r="G100" s="4" t="s">
        <v>71</v>
      </c>
      <c r="H100" s="14" t="s">
        <v>279</v>
      </c>
      <c r="I100" s="4" t="s">
        <v>73</v>
      </c>
      <c r="J100" s="4" t="s">
        <v>240</v>
      </c>
      <c r="K100" s="4" t="s">
        <v>73</v>
      </c>
      <c r="L100" s="14" t="s">
        <v>73</v>
      </c>
    </row>
    <row r="101" spans="1:12">
      <c r="A101" s="5">
        <v>100</v>
      </c>
      <c r="B101" s="4" t="s">
        <v>282</v>
      </c>
      <c r="C101" s="14" t="s">
        <v>283</v>
      </c>
      <c r="D101" s="4" t="s">
        <v>70</v>
      </c>
      <c r="E101" s="15">
        <v>2025</v>
      </c>
      <c r="F101" s="16">
        <v>42.03</v>
      </c>
      <c r="G101" s="4" t="s">
        <v>71</v>
      </c>
      <c r="H101" s="14" t="s">
        <v>220</v>
      </c>
      <c r="I101" s="4" t="s">
        <v>73</v>
      </c>
      <c r="J101" s="4" t="s">
        <v>240</v>
      </c>
      <c r="K101" s="4" t="s">
        <v>284</v>
      </c>
      <c r="L101" s="14" t="s">
        <v>285</v>
      </c>
    </row>
    <row r="102" spans="1:12">
      <c r="A102" s="5">
        <v>101</v>
      </c>
      <c r="B102" s="4" t="s">
        <v>286</v>
      </c>
      <c r="C102" s="14" t="s">
        <v>287</v>
      </c>
      <c r="D102" s="4" t="s">
        <v>70</v>
      </c>
      <c r="E102" s="15">
        <v>2025</v>
      </c>
      <c r="F102" s="16">
        <v>74.52</v>
      </c>
      <c r="G102" s="4" t="s">
        <v>71</v>
      </c>
      <c r="H102" s="14" t="s">
        <v>288</v>
      </c>
      <c r="I102" s="4" t="s">
        <v>73</v>
      </c>
      <c r="J102" s="4" t="s">
        <v>240</v>
      </c>
      <c r="K102" s="4" t="s">
        <v>289</v>
      </c>
      <c r="L102" s="14" t="s">
        <v>73</v>
      </c>
    </row>
    <row r="103" spans="1:12">
      <c r="A103" s="5">
        <v>102</v>
      </c>
      <c r="B103" s="4" t="s">
        <v>290</v>
      </c>
      <c r="C103" s="14" t="s">
        <v>291</v>
      </c>
      <c r="D103" s="4" t="s">
        <v>70</v>
      </c>
      <c r="E103" s="15">
        <v>2025</v>
      </c>
      <c r="F103" s="16">
        <v>40.99</v>
      </c>
      <c r="G103" s="4" t="s">
        <v>71</v>
      </c>
      <c r="H103" s="14" t="s">
        <v>292</v>
      </c>
      <c r="I103" s="4" t="s">
        <v>73</v>
      </c>
      <c r="J103" s="4" t="s">
        <v>240</v>
      </c>
      <c r="K103" s="4" t="s">
        <v>289</v>
      </c>
      <c r="L103" s="14" t="s">
        <v>73</v>
      </c>
    </row>
    <row r="104" spans="1:12">
      <c r="A104" s="5">
        <v>103</v>
      </c>
      <c r="B104" s="4" t="s">
        <v>293</v>
      </c>
      <c r="C104" s="14" t="s">
        <v>294</v>
      </c>
      <c r="D104" s="4" t="s">
        <v>70</v>
      </c>
      <c r="E104" s="15">
        <v>2025</v>
      </c>
      <c r="F104" s="16">
        <v>82.2</v>
      </c>
      <c r="G104" s="4" t="s">
        <v>295</v>
      </c>
      <c r="H104" s="14" t="s">
        <v>296</v>
      </c>
      <c r="I104" s="4" t="s">
        <v>73</v>
      </c>
      <c r="J104" s="4" t="s">
        <v>240</v>
      </c>
      <c r="K104" s="4" t="s">
        <v>73</v>
      </c>
      <c r="L104" s="14" t="s">
        <v>297</v>
      </c>
    </row>
    <row r="105" spans="1:12">
      <c r="A105" s="5">
        <v>104</v>
      </c>
      <c r="B105" s="4" t="s">
        <v>298</v>
      </c>
      <c r="C105" s="14" t="s">
        <v>294</v>
      </c>
      <c r="D105" s="4" t="s">
        <v>78</v>
      </c>
      <c r="E105" s="15">
        <v>2025</v>
      </c>
      <c r="F105" s="16">
        <v>84.64</v>
      </c>
      <c r="G105" s="4" t="s">
        <v>295</v>
      </c>
      <c r="H105" s="14" t="s">
        <v>296</v>
      </c>
      <c r="I105" s="4" t="s">
        <v>73</v>
      </c>
      <c r="J105" s="4" t="s">
        <v>240</v>
      </c>
      <c r="K105" s="4" t="s">
        <v>73</v>
      </c>
      <c r="L105" s="14" t="s">
        <v>73</v>
      </c>
    </row>
    <row r="106" spans="1:12">
      <c r="A106" s="5">
        <v>105</v>
      </c>
      <c r="B106" s="4" t="s">
        <v>299</v>
      </c>
      <c r="C106" s="14" t="s">
        <v>300</v>
      </c>
      <c r="D106" s="4" t="s">
        <v>70</v>
      </c>
      <c r="E106" s="15">
        <v>2025</v>
      </c>
      <c r="F106" s="16">
        <v>64.40000000000001</v>
      </c>
      <c r="G106" s="4" t="s">
        <v>295</v>
      </c>
      <c r="H106" s="14" t="s">
        <v>296</v>
      </c>
      <c r="I106" s="4" t="s">
        <v>73</v>
      </c>
      <c r="J106" s="4" t="s">
        <v>240</v>
      </c>
      <c r="K106" s="4" t="s">
        <v>73</v>
      </c>
      <c r="L106" s="14" t="s">
        <v>301</v>
      </c>
    </row>
    <row r="107" spans="1:12">
      <c r="A107" s="5">
        <v>106</v>
      </c>
      <c r="B107" s="4" t="s">
        <v>302</v>
      </c>
      <c r="C107" s="14" t="s">
        <v>303</v>
      </c>
      <c r="D107" s="4" t="s">
        <v>70</v>
      </c>
      <c r="E107" s="15">
        <v>2023</v>
      </c>
      <c r="F107" s="16">
        <v>15.37</v>
      </c>
      <c r="G107" s="4" t="s">
        <v>71</v>
      </c>
      <c r="H107" s="14" t="s">
        <v>304</v>
      </c>
      <c r="I107" s="4" t="s">
        <v>73</v>
      </c>
      <c r="J107" s="4" t="s">
        <v>240</v>
      </c>
      <c r="K107" s="4" t="s">
        <v>305</v>
      </c>
      <c r="L107" s="14" t="s">
        <v>306</v>
      </c>
    </row>
    <row r="108" spans="1:12">
      <c r="A108" s="5">
        <v>107</v>
      </c>
      <c r="B108" s="4" t="s">
        <v>307</v>
      </c>
      <c r="C108" s="14" t="s">
        <v>303</v>
      </c>
      <c r="D108" s="4" t="s">
        <v>78</v>
      </c>
      <c r="E108" s="15">
        <v>2023</v>
      </c>
      <c r="F108" s="16">
        <v>80.23</v>
      </c>
      <c r="G108" s="4" t="s">
        <v>71</v>
      </c>
      <c r="H108" s="14" t="s">
        <v>304</v>
      </c>
      <c r="I108" s="4" t="s">
        <v>73</v>
      </c>
      <c r="J108" s="4" t="s">
        <v>240</v>
      </c>
      <c r="K108" s="4" t="s">
        <v>305</v>
      </c>
      <c r="L108" s="14" t="s">
        <v>73</v>
      </c>
    </row>
    <row r="109" spans="1:12">
      <c r="A109" s="5">
        <v>108</v>
      </c>
      <c r="B109" s="4" t="s">
        <v>308</v>
      </c>
      <c r="C109" s="14" t="s">
        <v>309</v>
      </c>
      <c r="D109" s="4" t="s">
        <v>70</v>
      </c>
      <c r="E109" s="15">
        <v>2025</v>
      </c>
      <c r="F109" s="17">
        <v>7000</v>
      </c>
      <c r="G109" s="4" t="s">
        <v>102</v>
      </c>
      <c r="H109" s="14" t="s">
        <v>310</v>
      </c>
      <c r="I109" s="4" t="s">
        <v>113</v>
      </c>
      <c r="J109" s="4" t="s">
        <v>311</v>
      </c>
      <c r="K109" s="4" t="s">
        <v>312</v>
      </c>
      <c r="L109" s="14" t="s">
        <v>313</v>
      </c>
    </row>
    <row r="110" spans="1:12">
      <c r="A110" s="5">
        <v>109</v>
      </c>
      <c r="B110" s="4" t="s">
        <v>314</v>
      </c>
      <c r="C110" s="14" t="s">
        <v>315</v>
      </c>
      <c r="D110" s="4" t="s">
        <v>70</v>
      </c>
      <c r="E110" s="15">
        <v>2025</v>
      </c>
      <c r="F110" s="16">
        <v>65</v>
      </c>
      <c r="G110" s="4" t="s">
        <v>71</v>
      </c>
      <c r="H110" s="14" t="s">
        <v>316</v>
      </c>
      <c r="I110" s="4" t="s">
        <v>73</v>
      </c>
      <c r="J110" s="4" t="s">
        <v>311</v>
      </c>
      <c r="K110" s="4" t="s">
        <v>312</v>
      </c>
      <c r="L110" s="14" t="s">
        <v>73</v>
      </c>
    </row>
    <row r="111" spans="1:12">
      <c r="A111" s="5">
        <v>110</v>
      </c>
      <c r="B111" s="4" t="s">
        <v>317</v>
      </c>
      <c r="C111" s="14" t="s">
        <v>318</v>
      </c>
      <c r="D111" s="4" t="s">
        <v>70</v>
      </c>
      <c r="E111" s="15">
        <v>2025</v>
      </c>
      <c r="F111" s="16">
        <v>2</v>
      </c>
      <c r="G111" s="4" t="s">
        <v>71</v>
      </c>
      <c r="H111" s="14" t="s">
        <v>316</v>
      </c>
      <c r="I111" s="4" t="s">
        <v>73</v>
      </c>
      <c r="J111" s="4" t="s">
        <v>311</v>
      </c>
      <c r="K111" s="4" t="s">
        <v>312</v>
      </c>
      <c r="L111" s="14" t="s">
        <v>73</v>
      </c>
    </row>
    <row r="112" spans="1:12">
      <c r="A112" s="5">
        <v>111</v>
      </c>
      <c r="B112" s="4" t="s">
        <v>319</v>
      </c>
      <c r="C112" s="14" t="s">
        <v>320</v>
      </c>
      <c r="D112" s="4" t="s">
        <v>70</v>
      </c>
      <c r="E112" s="15">
        <v>2026</v>
      </c>
      <c r="F112" s="5">
        <v>6025603</v>
      </c>
      <c r="G112" s="4" t="s">
        <v>102</v>
      </c>
      <c r="H112" s="14" t="s">
        <v>321</v>
      </c>
      <c r="I112" s="4" t="s">
        <v>73</v>
      </c>
      <c r="J112" s="4" t="s">
        <v>322</v>
      </c>
      <c r="K112" s="4" t="s">
        <v>323</v>
      </c>
      <c r="L112" s="14" t="s">
        <v>324</v>
      </c>
    </row>
    <row r="113" spans="1:12">
      <c r="A113" s="5">
        <v>112</v>
      </c>
      <c r="B113" s="4" t="s">
        <v>325</v>
      </c>
      <c r="C113" s="14" t="s">
        <v>224</v>
      </c>
      <c r="D113" s="4" t="s">
        <v>70</v>
      </c>
      <c r="E113" s="15">
        <v>2025</v>
      </c>
      <c r="F113" s="17">
        <v>256000</v>
      </c>
      <c r="G113" s="4" t="s">
        <v>102</v>
      </c>
      <c r="H113" s="14" t="s">
        <v>326</v>
      </c>
      <c r="I113" s="4" t="s">
        <v>113</v>
      </c>
      <c r="J113" s="4" t="s">
        <v>226</v>
      </c>
      <c r="K113" s="4" t="s">
        <v>323</v>
      </c>
      <c r="L113" s="14" t="s">
        <v>327</v>
      </c>
    </row>
    <row r="114" spans="1:12">
      <c r="A114" s="5">
        <v>113</v>
      </c>
      <c r="B114" s="4" t="s">
        <v>325</v>
      </c>
      <c r="C114" s="14" t="s">
        <v>224</v>
      </c>
      <c r="D114" s="4" t="s">
        <v>70</v>
      </c>
      <c r="E114" s="15">
        <v>2026</v>
      </c>
      <c r="F114" s="5">
        <v>238479</v>
      </c>
      <c r="G114" s="4" t="s">
        <v>102</v>
      </c>
      <c r="H114" s="14" t="s">
        <v>326</v>
      </c>
      <c r="I114" s="4" t="s">
        <v>73</v>
      </c>
      <c r="J114" s="4" t="s">
        <v>226</v>
      </c>
      <c r="K114" s="4" t="s">
        <v>323</v>
      </c>
      <c r="L114" s="14" t="s">
        <v>328</v>
      </c>
    </row>
    <row r="115" spans="1:12">
      <c r="A115" s="5">
        <v>114</v>
      </c>
      <c r="B115" s="4" t="s">
        <v>329</v>
      </c>
      <c r="C115" s="14" t="s">
        <v>330</v>
      </c>
      <c r="D115" s="4" t="s">
        <v>70</v>
      </c>
      <c r="E115" s="15">
        <v>2016</v>
      </c>
      <c r="F115" s="17">
        <v>1000</v>
      </c>
      <c r="G115" s="4" t="s">
        <v>331</v>
      </c>
      <c r="H115" s="14" t="s">
        <v>332</v>
      </c>
      <c r="I115" s="4" t="s">
        <v>113</v>
      </c>
      <c r="J115" s="4" t="s">
        <v>333</v>
      </c>
      <c r="K115" s="4" t="s">
        <v>73</v>
      </c>
      <c r="L115" s="14" t="s">
        <v>334</v>
      </c>
    </row>
    <row r="116" spans="1:12">
      <c r="A116" s="5">
        <v>115</v>
      </c>
      <c r="B116" s="4" t="s">
        <v>335</v>
      </c>
      <c r="C116" s="14" t="s">
        <v>336</v>
      </c>
      <c r="D116" s="4" t="s">
        <v>70</v>
      </c>
      <c r="E116" s="15">
        <v>2016</v>
      </c>
      <c r="F116" s="17">
        <v>450</v>
      </c>
      <c r="G116" s="4" t="s">
        <v>331</v>
      </c>
      <c r="H116" s="14" t="s">
        <v>337</v>
      </c>
      <c r="I116" s="4" t="s">
        <v>113</v>
      </c>
      <c r="J116" s="4" t="s">
        <v>333</v>
      </c>
      <c r="K116" s="4" t="s">
        <v>73</v>
      </c>
      <c r="L116" s="14" t="s">
        <v>338</v>
      </c>
    </row>
    <row r="117" spans="1:12">
      <c r="A117" s="5">
        <v>116</v>
      </c>
      <c r="B117" s="4" t="s">
        <v>339</v>
      </c>
      <c r="C117" s="14" t="s">
        <v>340</v>
      </c>
      <c r="D117" s="4" t="s">
        <v>70</v>
      </c>
      <c r="E117" s="15">
        <v>2005</v>
      </c>
      <c r="F117" s="16">
        <v>109.2</v>
      </c>
      <c r="G117" s="4" t="s">
        <v>341</v>
      </c>
      <c r="H117" s="14" t="s">
        <v>342</v>
      </c>
      <c r="I117" s="4" t="s">
        <v>73</v>
      </c>
      <c r="J117" s="4" t="s">
        <v>343</v>
      </c>
      <c r="K117" s="4" t="s">
        <v>344</v>
      </c>
      <c r="L117" s="14" t="s">
        <v>73</v>
      </c>
    </row>
    <row r="118" spans="1:12">
      <c r="A118" s="5">
        <v>117</v>
      </c>
      <c r="B118" s="4" t="s">
        <v>339</v>
      </c>
      <c r="C118" s="14" t="s">
        <v>340</v>
      </c>
      <c r="D118" s="4" t="s">
        <v>70</v>
      </c>
      <c r="E118" s="15">
        <v>2006</v>
      </c>
      <c r="F118" s="16">
        <v>109.3</v>
      </c>
      <c r="G118" s="4" t="s">
        <v>341</v>
      </c>
      <c r="H118" s="14" t="s">
        <v>342</v>
      </c>
      <c r="I118" s="4" t="s">
        <v>73</v>
      </c>
      <c r="J118" s="4" t="s">
        <v>343</v>
      </c>
      <c r="K118" s="4" t="s">
        <v>344</v>
      </c>
      <c r="L118" s="14" t="s">
        <v>73</v>
      </c>
    </row>
    <row r="119" spans="1:12">
      <c r="A119" s="5">
        <v>118</v>
      </c>
      <c r="B119" s="4" t="s">
        <v>339</v>
      </c>
      <c r="C119" s="14" t="s">
        <v>340</v>
      </c>
      <c r="D119" s="4" t="s">
        <v>70</v>
      </c>
      <c r="E119" s="15">
        <v>2007</v>
      </c>
      <c r="F119" s="16">
        <v>107.1</v>
      </c>
      <c r="G119" s="4" t="s">
        <v>341</v>
      </c>
      <c r="H119" s="14" t="s">
        <v>342</v>
      </c>
      <c r="I119" s="4" t="s">
        <v>73</v>
      </c>
      <c r="J119" s="4" t="s">
        <v>343</v>
      </c>
      <c r="K119" s="4" t="s">
        <v>344</v>
      </c>
      <c r="L119" s="14" t="s">
        <v>73</v>
      </c>
    </row>
    <row r="120" spans="1:12">
      <c r="A120" s="5">
        <v>119</v>
      </c>
      <c r="B120" s="4" t="s">
        <v>339</v>
      </c>
      <c r="C120" s="14" t="s">
        <v>340</v>
      </c>
      <c r="D120" s="4" t="s">
        <v>70</v>
      </c>
      <c r="E120" s="15">
        <v>2008</v>
      </c>
      <c r="F120" s="16">
        <v>108.5</v>
      </c>
      <c r="G120" s="4" t="s">
        <v>341</v>
      </c>
      <c r="H120" s="14" t="s">
        <v>342</v>
      </c>
      <c r="I120" s="4" t="s">
        <v>73</v>
      </c>
      <c r="J120" s="4" t="s">
        <v>343</v>
      </c>
      <c r="K120" s="4" t="s">
        <v>344</v>
      </c>
      <c r="L120" s="14" t="s">
        <v>73</v>
      </c>
    </row>
    <row r="121" spans="1:12">
      <c r="A121" s="5">
        <v>120</v>
      </c>
      <c r="B121" s="4" t="s">
        <v>339</v>
      </c>
      <c r="C121" s="14" t="s">
        <v>340</v>
      </c>
      <c r="D121" s="4" t="s">
        <v>70</v>
      </c>
      <c r="E121" s="15">
        <v>2009</v>
      </c>
      <c r="F121" s="16">
        <v>109.9</v>
      </c>
      <c r="G121" s="4" t="s">
        <v>341</v>
      </c>
      <c r="H121" s="14" t="s">
        <v>342</v>
      </c>
      <c r="I121" s="4" t="s">
        <v>73</v>
      </c>
      <c r="J121" s="4" t="s">
        <v>343</v>
      </c>
      <c r="K121" s="4" t="s">
        <v>344</v>
      </c>
      <c r="L121" s="14" t="s">
        <v>73</v>
      </c>
    </row>
    <row r="122" spans="1:12">
      <c r="A122" s="5">
        <v>121</v>
      </c>
      <c r="B122" s="4" t="s">
        <v>339</v>
      </c>
      <c r="C122" s="14" t="s">
        <v>340</v>
      </c>
      <c r="D122" s="4" t="s">
        <v>70</v>
      </c>
      <c r="E122" s="15">
        <v>2010</v>
      </c>
      <c r="F122" s="16">
        <v>115</v>
      </c>
      <c r="G122" s="4" t="s">
        <v>341</v>
      </c>
      <c r="H122" s="14" t="s">
        <v>342</v>
      </c>
      <c r="I122" s="4" t="s">
        <v>73</v>
      </c>
      <c r="J122" s="4" t="s">
        <v>343</v>
      </c>
      <c r="K122" s="4" t="s">
        <v>344</v>
      </c>
      <c r="L122" s="14" t="s">
        <v>73</v>
      </c>
    </row>
    <row r="123" spans="1:12">
      <c r="A123" s="5">
        <v>122</v>
      </c>
      <c r="B123" s="4" t="s">
        <v>339</v>
      </c>
      <c r="C123" s="14" t="s">
        <v>340</v>
      </c>
      <c r="D123" s="4" t="s">
        <v>70</v>
      </c>
      <c r="E123" s="15">
        <v>2011</v>
      </c>
      <c r="F123" s="16">
        <v>113.8</v>
      </c>
      <c r="G123" s="4" t="s">
        <v>341</v>
      </c>
      <c r="H123" s="14" t="s">
        <v>342</v>
      </c>
      <c r="I123" s="4" t="s">
        <v>73</v>
      </c>
      <c r="J123" s="4" t="s">
        <v>343</v>
      </c>
      <c r="K123" s="4" t="s">
        <v>344</v>
      </c>
      <c r="L123" s="14" t="s">
        <v>73</v>
      </c>
    </row>
    <row r="124" spans="1:12">
      <c r="A124" s="5">
        <v>123</v>
      </c>
      <c r="B124" s="4" t="s">
        <v>339</v>
      </c>
      <c r="C124" s="14" t="s">
        <v>340</v>
      </c>
      <c r="D124" s="4" t="s">
        <v>70</v>
      </c>
      <c r="E124" s="15">
        <v>2012</v>
      </c>
      <c r="F124" s="16">
        <v>113.9</v>
      </c>
      <c r="G124" s="4" t="s">
        <v>341</v>
      </c>
      <c r="H124" s="14" t="s">
        <v>342</v>
      </c>
      <c r="I124" s="4" t="s">
        <v>73</v>
      </c>
      <c r="J124" s="4" t="s">
        <v>343</v>
      </c>
      <c r="K124" s="4" t="s">
        <v>344</v>
      </c>
      <c r="L124" s="14" t="s">
        <v>73</v>
      </c>
    </row>
    <row r="125" spans="1:12">
      <c r="A125" s="5">
        <v>124</v>
      </c>
      <c r="B125" s="4" t="s">
        <v>339</v>
      </c>
      <c r="C125" s="14" t="s">
        <v>340</v>
      </c>
      <c r="D125" s="4" t="s">
        <v>70</v>
      </c>
      <c r="E125" s="15">
        <v>2013</v>
      </c>
      <c r="F125" s="16">
        <v>115.3</v>
      </c>
      <c r="G125" s="4" t="s">
        <v>341</v>
      </c>
      <c r="H125" s="14" t="s">
        <v>342</v>
      </c>
      <c r="I125" s="4" t="s">
        <v>73</v>
      </c>
      <c r="J125" s="4" t="s">
        <v>343</v>
      </c>
      <c r="K125" s="4" t="s">
        <v>344</v>
      </c>
      <c r="L125" s="14" t="s">
        <v>73</v>
      </c>
    </row>
    <row r="126" spans="1:12">
      <c r="A126" s="5">
        <v>125</v>
      </c>
      <c r="B126" s="4" t="s">
        <v>339</v>
      </c>
      <c r="C126" s="14" t="s">
        <v>340</v>
      </c>
      <c r="D126" s="4" t="s">
        <v>70</v>
      </c>
      <c r="E126" s="15">
        <v>2014</v>
      </c>
      <c r="F126" s="16">
        <v>115.1</v>
      </c>
      <c r="G126" s="4" t="s">
        <v>341</v>
      </c>
      <c r="H126" s="14" t="s">
        <v>342</v>
      </c>
      <c r="I126" s="4" t="s">
        <v>73</v>
      </c>
      <c r="J126" s="4" t="s">
        <v>343</v>
      </c>
      <c r="K126" s="4" t="s">
        <v>344</v>
      </c>
      <c r="L126" s="14" t="s">
        <v>73</v>
      </c>
    </row>
    <row r="127" spans="1:12">
      <c r="A127" s="5">
        <v>126</v>
      </c>
      <c r="B127" s="4" t="s">
        <v>339</v>
      </c>
      <c r="C127" s="14" t="s">
        <v>340</v>
      </c>
      <c r="D127" s="4" t="s">
        <v>70</v>
      </c>
      <c r="E127" s="15">
        <v>2015</v>
      </c>
      <c r="F127" s="16">
        <v>113.9</v>
      </c>
      <c r="G127" s="4" t="s">
        <v>341</v>
      </c>
      <c r="H127" s="14" t="s">
        <v>342</v>
      </c>
      <c r="I127" s="4" t="s">
        <v>73</v>
      </c>
      <c r="J127" s="4" t="s">
        <v>343</v>
      </c>
      <c r="K127" s="4" t="s">
        <v>344</v>
      </c>
      <c r="L127" s="14" t="s">
        <v>73</v>
      </c>
    </row>
    <row r="128" spans="1:12">
      <c r="A128" s="5">
        <v>127</v>
      </c>
      <c r="B128" s="4" t="s">
        <v>339</v>
      </c>
      <c r="C128" s="14" t="s">
        <v>340</v>
      </c>
      <c r="D128" s="4" t="s">
        <v>70</v>
      </c>
      <c r="E128" s="15">
        <v>2016</v>
      </c>
      <c r="F128" s="16">
        <v>114.1</v>
      </c>
      <c r="G128" s="4" t="s">
        <v>341</v>
      </c>
      <c r="H128" s="14" t="s">
        <v>342</v>
      </c>
      <c r="I128" s="4" t="s">
        <v>73</v>
      </c>
      <c r="J128" s="4" t="s">
        <v>343</v>
      </c>
      <c r="K128" s="4" t="s">
        <v>344</v>
      </c>
      <c r="L128" s="14" t="s">
        <v>73</v>
      </c>
    </row>
    <row r="129" spans="1:12">
      <c r="A129" s="5">
        <v>128</v>
      </c>
      <c r="B129" s="4" t="s">
        <v>339</v>
      </c>
      <c r="C129" s="14" t="s">
        <v>340</v>
      </c>
      <c r="D129" s="4" t="s">
        <v>70</v>
      </c>
      <c r="E129" s="15">
        <v>2017</v>
      </c>
      <c r="F129" s="16">
        <v>116.3</v>
      </c>
      <c r="G129" s="4" t="s">
        <v>341</v>
      </c>
      <c r="H129" s="14" t="s">
        <v>342</v>
      </c>
      <c r="I129" s="4" t="s">
        <v>73</v>
      </c>
      <c r="J129" s="4" t="s">
        <v>343</v>
      </c>
      <c r="K129" s="4" t="s">
        <v>344</v>
      </c>
      <c r="L129" s="14" t="s">
        <v>73</v>
      </c>
    </row>
    <row r="130" spans="1:12">
      <c r="A130" s="5">
        <v>129</v>
      </c>
      <c r="B130" s="4" t="s">
        <v>339</v>
      </c>
      <c r="C130" s="14" t="s">
        <v>340</v>
      </c>
      <c r="D130" s="4" t="s">
        <v>70</v>
      </c>
      <c r="E130" s="15">
        <v>2018</v>
      </c>
      <c r="F130" s="16">
        <v>115.3</v>
      </c>
      <c r="G130" s="4" t="s">
        <v>341</v>
      </c>
      <c r="H130" s="14" t="s">
        <v>342</v>
      </c>
      <c r="I130" s="4" t="s">
        <v>73</v>
      </c>
      <c r="J130" s="4" t="s">
        <v>343</v>
      </c>
      <c r="K130" s="4" t="s">
        <v>344</v>
      </c>
      <c r="L130" s="14" t="s">
        <v>73</v>
      </c>
    </row>
    <row r="131" spans="1:12">
      <c r="A131" s="5">
        <v>130</v>
      </c>
      <c r="B131" s="4" t="s">
        <v>339</v>
      </c>
      <c r="C131" s="14" t="s">
        <v>340</v>
      </c>
      <c r="D131" s="4" t="s">
        <v>70</v>
      </c>
      <c r="E131" s="15">
        <v>2019</v>
      </c>
      <c r="F131" s="16">
        <v>113.2</v>
      </c>
      <c r="G131" s="4" t="s">
        <v>341</v>
      </c>
      <c r="H131" s="14" t="s">
        <v>342</v>
      </c>
      <c r="I131" s="4" t="s">
        <v>73</v>
      </c>
      <c r="J131" s="4" t="s">
        <v>343</v>
      </c>
      <c r="K131" s="4" t="s">
        <v>344</v>
      </c>
      <c r="L131" s="14" t="s">
        <v>73</v>
      </c>
    </row>
    <row r="132" spans="1:12">
      <c r="A132" s="5">
        <v>131</v>
      </c>
      <c r="B132" s="4" t="s">
        <v>339</v>
      </c>
      <c r="C132" s="14" t="s">
        <v>340</v>
      </c>
      <c r="D132" s="4" t="s">
        <v>70</v>
      </c>
      <c r="E132" s="15">
        <v>2020</v>
      </c>
      <c r="F132" s="16">
        <v>119.6</v>
      </c>
      <c r="G132" s="4" t="s">
        <v>341</v>
      </c>
      <c r="H132" s="14" t="s">
        <v>342</v>
      </c>
      <c r="I132" s="4" t="s">
        <v>73</v>
      </c>
      <c r="J132" s="4" t="s">
        <v>343</v>
      </c>
      <c r="K132" s="4" t="s">
        <v>344</v>
      </c>
      <c r="L132" s="14" t="s">
        <v>73</v>
      </c>
    </row>
    <row r="133" spans="1:12">
      <c r="A133" s="5">
        <v>132</v>
      </c>
      <c r="B133" s="4" t="s">
        <v>339</v>
      </c>
      <c r="C133" s="14" t="s">
        <v>340</v>
      </c>
      <c r="D133" s="4" t="s">
        <v>70</v>
      </c>
      <c r="E133" s="15">
        <v>2021</v>
      </c>
      <c r="F133" s="16">
        <v>121</v>
      </c>
      <c r="G133" s="4" t="s">
        <v>341</v>
      </c>
      <c r="H133" s="14" t="s">
        <v>342</v>
      </c>
      <c r="I133" s="4" t="s">
        <v>73</v>
      </c>
      <c r="J133" s="4" t="s">
        <v>343</v>
      </c>
      <c r="K133" s="4" t="s">
        <v>344</v>
      </c>
      <c r="L133" s="14" t="s">
        <v>73</v>
      </c>
    </row>
    <row r="134" spans="1:12">
      <c r="A134" s="5">
        <v>133</v>
      </c>
      <c r="B134" s="4" t="s">
        <v>339</v>
      </c>
      <c r="C134" s="14" t="s">
        <v>340</v>
      </c>
      <c r="D134" s="4" t="s">
        <v>70</v>
      </c>
      <c r="E134" s="15">
        <v>2022</v>
      </c>
      <c r="F134" s="16">
        <v>120.2</v>
      </c>
      <c r="G134" s="4" t="s">
        <v>341</v>
      </c>
      <c r="H134" s="14" t="s">
        <v>342</v>
      </c>
      <c r="I134" s="4" t="s">
        <v>73</v>
      </c>
      <c r="J134" s="4" t="s">
        <v>343</v>
      </c>
      <c r="K134" s="4" t="s">
        <v>344</v>
      </c>
      <c r="L134" s="14" t="s">
        <v>73</v>
      </c>
    </row>
    <row r="135" spans="1:12">
      <c r="A135" s="5">
        <v>134</v>
      </c>
      <c r="B135" s="4" t="s">
        <v>339</v>
      </c>
      <c r="C135" s="14" t="s">
        <v>340</v>
      </c>
      <c r="D135" s="4" t="s">
        <v>70</v>
      </c>
      <c r="E135" s="15">
        <v>2023</v>
      </c>
      <c r="F135" s="16">
        <v>113.1</v>
      </c>
      <c r="G135" s="4" t="s">
        <v>341</v>
      </c>
      <c r="H135" s="14" t="s">
        <v>342</v>
      </c>
      <c r="I135" s="4" t="s">
        <v>73</v>
      </c>
      <c r="J135" s="4" t="s">
        <v>343</v>
      </c>
      <c r="K135" s="4" t="s">
        <v>344</v>
      </c>
      <c r="L135" s="14" t="s">
        <v>73</v>
      </c>
    </row>
    <row r="136" spans="1:12">
      <c r="A136" s="5">
        <v>135</v>
      </c>
      <c r="B136" s="4" t="s">
        <v>339</v>
      </c>
      <c r="C136" s="14" t="s">
        <v>340</v>
      </c>
      <c r="D136" s="4" t="s">
        <v>70</v>
      </c>
      <c r="E136" s="15">
        <v>2024</v>
      </c>
      <c r="F136" s="16">
        <v>116.7</v>
      </c>
      <c r="G136" s="4" t="s">
        <v>341</v>
      </c>
      <c r="H136" s="14" t="s">
        <v>342</v>
      </c>
      <c r="I136" s="4" t="s">
        <v>73</v>
      </c>
      <c r="J136" s="4" t="s">
        <v>343</v>
      </c>
      <c r="K136" s="4" t="s">
        <v>344</v>
      </c>
      <c r="L136" s="14" t="s">
        <v>73</v>
      </c>
    </row>
    <row r="137" spans="1:12">
      <c r="A137" s="5">
        <v>136</v>
      </c>
      <c r="B137" s="4" t="s">
        <v>339</v>
      </c>
      <c r="C137" s="14" t="s">
        <v>340</v>
      </c>
      <c r="D137" s="4" t="s">
        <v>70</v>
      </c>
      <c r="E137" s="15">
        <v>2025</v>
      </c>
      <c r="F137" s="16">
        <v>116.8</v>
      </c>
      <c r="G137" s="4" t="s">
        <v>341</v>
      </c>
      <c r="H137" s="14" t="s">
        <v>342</v>
      </c>
      <c r="I137" s="4" t="s">
        <v>73</v>
      </c>
      <c r="J137" s="4" t="s">
        <v>343</v>
      </c>
      <c r="K137" s="4" t="s">
        <v>344</v>
      </c>
      <c r="L137" s="14" t="s">
        <v>73</v>
      </c>
    </row>
  </sheetData>
  <autoFilter ref="A1:L137"/>
  <pageMargins left="0.5" right="0.5" top="0.6" bottom="0.6" header="0.3" footer="0.3"/>
  <pageSetup paperSize="9" fitToHeight="0" orientation="landscape"/>
  <headerFooter>
    <oddFooter>&amp;L&amp;A&amp;C&amp;D&amp;R Page &amp;P of &amp;N</oddFooter>
  </headerFooter>
</worksheet>
</file>

<file path=xl/worksheets/sheet3.xml><?xml version="1.0" encoding="utf-8"?>
<worksheet xmlns="http://schemas.openxmlformats.org/spreadsheetml/2006/main" xmlns:r="http://schemas.openxmlformats.org/officeDocument/2006/relationships">
  <sheetPr>
    <tabColor rgb="FF1F3A5F"/>
    <pageSetUpPr fitToPage="1"/>
  </sheetPr>
  <dimension ref="A1:G37"/>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10.7109375" customWidth="1"/>
    <col min="2" max="2" width="30.7109375" customWidth="1"/>
    <col min="3" max="3" width="42.7109375" customWidth="1"/>
    <col min="4" max="4" width="41.7109375" customWidth="1"/>
    <col min="5" max="5" width="11.7109375" customWidth="1"/>
    <col min="6" max="6" width="48.7109375" customWidth="1"/>
    <col min="7" max="7" width="80.7109375" customWidth="1"/>
  </cols>
  <sheetData>
    <row r="1" spans="1:7">
      <c r="A1" s="1" t="s">
        <v>345</v>
      </c>
    </row>
    <row r="2" spans="1:7">
      <c r="A2" s="2" t="s">
        <v>346</v>
      </c>
    </row>
    <row r="4" spans="1:7" ht="28" customHeight="1">
      <c r="A4" s="13" t="s">
        <v>65</v>
      </c>
      <c r="B4" s="13" t="s">
        <v>347</v>
      </c>
      <c r="C4" s="13" t="s">
        <v>348</v>
      </c>
      <c r="D4" s="13" t="s">
        <v>349</v>
      </c>
      <c r="E4" s="13" t="s">
        <v>350</v>
      </c>
      <c r="F4" s="13" t="s">
        <v>351</v>
      </c>
      <c r="G4" s="13" t="s">
        <v>352</v>
      </c>
    </row>
    <row r="5" spans="1:7">
      <c r="A5" s="4" t="s">
        <v>353</v>
      </c>
      <c r="B5" s="14" t="s">
        <v>354</v>
      </c>
      <c r="C5" s="14" t="s">
        <v>355</v>
      </c>
      <c r="D5" s="4" t="s">
        <v>356</v>
      </c>
      <c r="E5" s="4" t="s">
        <v>357</v>
      </c>
      <c r="F5" s="18" t="s">
        <v>358</v>
      </c>
      <c r="G5" s="14" t="s">
        <v>359</v>
      </c>
    </row>
    <row r="6" spans="1:7">
      <c r="A6" s="4" t="s">
        <v>360</v>
      </c>
      <c r="B6" s="14" t="s">
        <v>361</v>
      </c>
      <c r="C6" s="14" t="s">
        <v>362</v>
      </c>
      <c r="D6" s="4" t="s">
        <v>363</v>
      </c>
      <c r="E6" s="4" t="s">
        <v>357</v>
      </c>
      <c r="F6" s="18" t="s">
        <v>364</v>
      </c>
      <c r="G6" s="14" t="s">
        <v>365</v>
      </c>
    </row>
    <row r="7" spans="1:7">
      <c r="A7" s="4" t="s">
        <v>366</v>
      </c>
      <c r="B7" s="14" t="s">
        <v>367</v>
      </c>
      <c r="C7" s="14" t="s">
        <v>368</v>
      </c>
      <c r="D7" s="4" t="s">
        <v>369</v>
      </c>
      <c r="E7" s="4" t="s">
        <v>357</v>
      </c>
      <c r="F7" s="18" t="s">
        <v>370</v>
      </c>
      <c r="G7" s="14" t="s">
        <v>371</v>
      </c>
    </row>
    <row r="8" spans="1:7">
      <c r="A8" s="4" t="s">
        <v>226</v>
      </c>
      <c r="B8" s="14" t="s">
        <v>372</v>
      </c>
      <c r="C8" s="14" t="s">
        <v>373</v>
      </c>
      <c r="D8" s="4" t="s">
        <v>73</v>
      </c>
      <c r="E8" s="4" t="s">
        <v>374</v>
      </c>
      <c r="F8" s="18" t="s">
        <v>375</v>
      </c>
      <c r="G8" s="14" t="s">
        <v>376</v>
      </c>
    </row>
    <row r="9" spans="1:7">
      <c r="A9" s="4" t="s">
        <v>247</v>
      </c>
      <c r="B9" s="14" t="s">
        <v>372</v>
      </c>
      <c r="C9" s="14" t="s">
        <v>377</v>
      </c>
      <c r="D9" s="4" t="s">
        <v>73</v>
      </c>
      <c r="E9" s="4" t="s">
        <v>374</v>
      </c>
      <c r="F9" s="18" t="s">
        <v>378</v>
      </c>
      <c r="G9" s="14" t="s">
        <v>379</v>
      </c>
    </row>
    <row r="10" spans="1:7">
      <c r="A10" s="4" t="s">
        <v>311</v>
      </c>
      <c r="B10" s="14" t="s">
        <v>380</v>
      </c>
      <c r="C10" s="14" t="s">
        <v>381</v>
      </c>
      <c r="D10" s="4" t="s">
        <v>73</v>
      </c>
      <c r="E10" s="4" t="s">
        <v>374</v>
      </c>
      <c r="F10" s="18" t="s">
        <v>382</v>
      </c>
      <c r="G10" s="14" t="s">
        <v>383</v>
      </c>
    </row>
    <row r="11" spans="1:7">
      <c r="A11" s="4" t="s">
        <v>384</v>
      </c>
      <c r="B11" s="14" t="s">
        <v>372</v>
      </c>
      <c r="C11" s="14" t="s">
        <v>385</v>
      </c>
      <c r="D11" s="4" t="s">
        <v>73</v>
      </c>
      <c r="E11" s="4" t="s">
        <v>374</v>
      </c>
      <c r="F11" s="18" t="s">
        <v>386</v>
      </c>
      <c r="G11" s="14" t="s">
        <v>387</v>
      </c>
    </row>
    <row r="12" spans="1:7">
      <c r="A12" s="4" t="s">
        <v>388</v>
      </c>
      <c r="B12" s="14" t="s">
        <v>372</v>
      </c>
      <c r="C12" s="14" t="s">
        <v>389</v>
      </c>
      <c r="D12" s="4" t="s">
        <v>73</v>
      </c>
      <c r="E12" s="4" t="s">
        <v>390</v>
      </c>
      <c r="F12" s="18" t="s">
        <v>391</v>
      </c>
      <c r="G12" s="14" t="s">
        <v>392</v>
      </c>
    </row>
    <row r="13" spans="1:7">
      <c r="A13" s="4" t="s">
        <v>393</v>
      </c>
      <c r="B13" s="14" t="s">
        <v>394</v>
      </c>
      <c r="C13" s="14" t="s">
        <v>395</v>
      </c>
      <c r="D13" s="4" t="s">
        <v>396</v>
      </c>
      <c r="E13" s="4" t="s">
        <v>374</v>
      </c>
      <c r="F13" s="18" t="s">
        <v>397</v>
      </c>
      <c r="G13" s="14" t="s">
        <v>398</v>
      </c>
    </row>
    <row r="14" spans="1:7">
      <c r="A14" s="4" t="s">
        <v>322</v>
      </c>
      <c r="B14" s="14" t="s">
        <v>394</v>
      </c>
      <c r="C14" s="14" t="s">
        <v>399</v>
      </c>
      <c r="D14" s="4" t="s">
        <v>400</v>
      </c>
      <c r="E14" s="4" t="s">
        <v>374</v>
      </c>
      <c r="F14" s="18" t="s">
        <v>401</v>
      </c>
      <c r="G14" s="14" t="s">
        <v>402</v>
      </c>
    </row>
    <row r="15" spans="1:7">
      <c r="A15" s="4" t="s">
        <v>240</v>
      </c>
      <c r="B15" s="14" t="s">
        <v>403</v>
      </c>
      <c r="C15" s="14" t="s">
        <v>404</v>
      </c>
      <c r="D15" s="4" t="s">
        <v>405</v>
      </c>
      <c r="E15" s="4" t="s">
        <v>374</v>
      </c>
      <c r="F15" s="18" t="s">
        <v>406</v>
      </c>
      <c r="G15" s="14" t="s">
        <v>407</v>
      </c>
    </row>
    <row r="16" spans="1:7">
      <c r="A16" s="4" t="s">
        <v>120</v>
      </c>
      <c r="B16" s="14" t="s">
        <v>408</v>
      </c>
      <c r="C16" s="14" t="s">
        <v>409</v>
      </c>
      <c r="D16" s="4" t="s">
        <v>410</v>
      </c>
      <c r="E16" s="4" t="s">
        <v>374</v>
      </c>
      <c r="F16" s="18" t="s">
        <v>411</v>
      </c>
      <c r="G16" s="14" t="s">
        <v>412</v>
      </c>
    </row>
    <row r="17" spans="1:7">
      <c r="A17" s="4" t="s">
        <v>123</v>
      </c>
      <c r="B17" s="14" t="s">
        <v>408</v>
      </c>
      <c r="C17" s="14" t="s">
        <v>413</v>
      </c>
      <c r="D17" s="4" t="s">
        <v>414</v>
      </c>
      <c r="E17" s="4" t="s">
        <v>374</v>
      </c>
      <c r="F17" s="18" t="s">
        <v>415</v>
      </c>
      <c r="G17" s="14" t="s">
        <v>416</v>
      </c>
    </row>
    <row r="18" spans="1:7">
      <c r="A18" s="4" t="s">
        <v>125</v>
      </c>
      <c r="B18" s="14" t="s">
        <v>408</v>
      </c>
      <c r="C18" s="14" t="s">
        <v>417</v>
      </c>
      <c r="D18" s="4" t="s">
        <v>414</v>
      </c>
      <c r="E18" s="4" t="s">
        <v>374</v>
      </c>
      <c r="F18" s="18" t="s">
        <v>418</v>
      </c>
      <c r="G18" s="14" t="s">
        <v>419</v>
      </c>
    </row>
    <row r="19" spans="1:7">
      <c r="A19" s="4" t="s">
        <v>190</v>
      </c>
      <c r="B19" s="14" t="s">
        <v>408</v>
      </c>
      <c r="C19" s="14" t="s">
        <v>420</v>
      </c>
      <c r="D19" s="4" t="s">
        <v>414</v>
      </c>
      <c r="E19" s="4" t="s">
        <v>374</v>
      </c>
      <c r="F19" s="18" t="s">
        <v>421</v>
      </c>
      <c r="G19" s="14" t="s">
        <v>422</v>
      </c>
    </row>
    <row r="20" spans="1:7">
      <c r="A20" s="4" t="s">
        <v>194</v>
      </c>
      <c r="B20" s="14" t="s">
        <v>408</v>
      </c>
      <c r="C20" s="14" t="s">
        <v>423</v>
      </c>
      <c r="D20" s="4" t="s">
        <v>424</v>
      </c>
      <c r="E20" s="4" t="s">
        <v>374</v>
      </c>
      <c r="F20" s="18" t="s">
        <v>425</v>
      </c>
      <c r="G20" s="14" t="s">
        <v>426</v>
      </c>
    </row>
    <row r="21" spans="1:7">
      <c r="A21" s="4" t="s">
        <v>202</v>
      </c>
      <c r="B21" s="14" t="s">
        <v>408</v>
      </c>
      <c r="C21" s="14" t="s">
        <v>427</v>
      </c>
      <c r="D21" s="4" t="s">
        <v>428</v>
      </c>
      <c r="E21" s="4" t="s">
        <v>374</v>
      </c>
      <c r="F21" s="18" t="s">
        <v>429</v>
      </c>
      <c r="G21" s="14" t="s">
        <v>430</v>
      </c>
    </row>
    <row r="22" spans="1:7">
      <c r="A22" s="4" t="s">
        <v>128</v>
      </c>
      <c r="B22" s="14" t="s">
        <v>408</v>
      </c>
      <c r="C22" s="14" t="s">
        <v>431</v>
      </c>
      <c r="D22" s="4" t="s">
        <v>414</v>
      </c>
      <c r="E22" s="4" t="s">
        <v>374</v>
      </c>
      <c r="F22" s="18" t="s">
        <v>432</v>
      </c>
      <c r="G22" s="14" t="s">
        <v>433</v>
      </c>
    </row>
    <row r="23" spans="1:7">
      <c r="A23" s="4" t="s">
        <v>343</v>
      </c>
      <c r="B23" s="14" t="s">
        <v>408</v>
      </c>
      <c r="C23" s="14" t="s">
        <v>434</v>
      </c>
      <c r="D23" s="4" t="s">
        <v>435</v>
      </c>
      <c r="E23" s="4" t="s">
        <v>357</v>
      </c>
      <c r="F23" s="18" t="s">
        <v>436</v>
      </c>
      <c r="G23" s="14" t="s">
        <v>437</v>
      </c>
    </row>
    <row r="24" spans="1:7">
      <c r="A24" s="4" t="s">
        <v>74</v>
      </c>
      <c r="B24" s="14" t="s">
        <v>408</v>
      </c>
      <c r="C24" s="14" t="s">
        <v>438</v>
      </c>
      <c r="D24" s="4" t="s">
        <v>439</v>
      </c>
      <c r="E24" s="4" t="s">
        <v>390</v>
      </c>
      <c r="F24" s="18" t="s">
        <v>440</v>
      </c>
      <c r="G24" s="14" t="s">
        <v>441</v>
      </c>
    </row>
    <row r="25" spans="1:7">
      <c r="A25" s="4" t="s">
        <v>104</v>
      </c>
      <c r="B25" s="14" t="s">
        <v>442</v>
      </c>
      <c r="C25" s="14" t="s">
        <v>443</v>
      </c>
      <c r="D25" s="4" t="s">
        <v>73</v>
      </c>
      <c r="E25" s="4" t="s">
        <v>374</v>
      </c>
      <c r="F25" s="18" t="s">
        <v>444</v>
      </c>
      <c r="G25" s="14" t="s">
        <v>445</v>
      </c>
    </row>
    <row r="26" spans="1:7">
      <c r="A26" s="4" t="s">
        <v>446</v>
      </c>
      <c r="B26" s="14" t="s">
        <v>447</v>
      </c>
      <c r="C26" s="14" t="s">
        <v>448</v>
      </c>
      <c r="D26" s="4" t="s">
        <v>449</v>
      </c>
      <c r="E26" s="4" t="s">
        <v>73</v>
      </c>
      <c r="F26" s="14" t="s">
        <v>73</v>
      </c>
      <c r="G26" s="14" t="s">
        <v>450</v>
      </c>
    </row>
    <row r="27" spans="1:7">
      <c r="A27" s="4" t="s">
        <v>451</v>
      </c>
      <c r="B27" s="14" t="s">
        <v>452</v>
      </c>
      <c r="C27" s="14" t="s">
        <v>453</v>
      </c>
      <c r="D27" s="4" t="s">
        <v>454</v>
      </c>
      <c r="E27" s="4" t="s">
        <v>357</v>
      </c>
      <c r="F27" s="18" t="s">
        <v>455</v>
      </c>
      <c r="G27" s="14" t="s">
        <v>456</v>
      </c>
    </row>
    <row r="28" spans="1:7">
      <c r="A28" s="4" t="s">
        <v>457</v>
      </c>
      <c r="B28" s="14" t="s">
        <v>458</v>
      </c>
      <c r="C28" s="14" t="s">
        <v>459</v>
      </c>
      <c r="D28" s="4" t="s">
        <v>73</v>
      </c>
      <c r="E28" s="4" t="s">
        <v>374</v>
      </c>
      <c r="F28" s="18" t="s">
        <v>460</v>
      </c>
      <c r="G28" s="14" t="s">
        <v>461</v>
      </c>
    </row>
    <row r="29" spans="1:7">
      <c r="A29" s="4" t="s">
        <v>254</v>
      </c>
      <c r="B29" s="14" t="s">
        <v>462</v>
      </c>
      <c r="C29" s="14" t="s">
        <v>463</v>
      </c>
      <c r="D29" s="4" t="s">
        <v>464</v>
      </c>
      <c r="E29" s="4" t="s">
        <v>374</v>
      </c>
      <c r="F29" s="18" t="s">
        <v>465</v>
      </c>
      <c r="G29" s="14" t="s">
        <v>466</v>
      </c>
    </row>
    <row r="30" spans="1:7">
      <c r="A30" s="4" t="s">
        <v>467</v>
      </c>
      <c r="B30" s="14" t="s">
        <v>468</v>
      </c>
      <c r="C30" s="14" t="s">
        <v>469</v>
      </c>
      <c r="D30" s="4" t="s">
        <v>470</v>
      </c>
      <c r="E30" s="4" t="s">
        <v>357</v>
      </c>
      <c r="F30" s="18" t="s">
        <v>471</v>
      </c>
      <c r="G30" s="14" t="s">
        <v>472</v>
      </c>
    </row>
    <row r="31" spans="1:7">
      <c r="A31" s="4" t="s">
        <v>83</v>
      </c>
      <c r="B31" s="14" t="s">
        <v>473</v>
      </c>
      <c r="C31" s="14" t="s">
        <v>474</v>
      </c>
      <c r="D31" s="4" t="s">
        <v>73</v>
      </c>
      <c r="E31" s="4" t="s">
        <v>374</v>
      </c>
      <c r="F31" s="18" t="s">
        <v>475</v>
      </c>
      <c r="G31" s="14" t="s">
        <v>476</v>
      </c>
    </row>
    <row r="32" spans="1:7">
      <c r="A32" s="4" t="s">
        <v>477</v>
      </c>
      <c r="B32" s="14" t="s">
        <v>478</v>
      </c>
      <c r="C32" s="14" t="s">
        <v>479</v>
      </c>
      <c r="D32" s="4" t="s">
        <v>480</v>
      </c>
      <c r="E32" s="4" t="s">
        <v>357</v>
      </c>
      <c r="F32" s="18" t="s">
        <v>481</v>
      </c>
      <c r="G32" s="14" t="s">
        <v>482</v>
      </c>
    </row>
    <row r="33" spans="1:7">
      <c r="A33" s="4" t="s">
        <v>483</v>
      </c>
      <c r="B33" s="14" t="s">
        <v>484</v>
      </c>
      <c r="C33" s="14" t="s">
        <v>485</v>
      </c>
      <c r="D33" s="4" t="s">
        <v>486</v>
      </c>
      <c r="E33" s="4" t="s">
        <v>374</v>
      </c>
      <c r="F33" s="18" t="s">
        <v>487</v>
      </c>
      <c r="G33" s="14" t="s">
        <v>488</v>
      </c>
    </row>
    <row r="34" spans="1:7">
      <c r="A34" s="4" t="s">
        <v>489</v>
      </c>
      <c r="B34" s="14" t="s">
        <v>490</v>
      </c>
      <c r="C34" s="14" t="s">
        <v>491</v>
      </c>
      <c r="D34" s="4" t="s">
        <v>492</v>
      </c>
      <c r="E34" s="4" t="s">
        <v>374</v>
      </c>
      <c r="F34" s="18" t="s">
        <v>493</v>
      </c>
      <c r="G34" s="14" t="s">
        <v>494</v>
      </c>
    </row>
    <row r="35" spans="1:7">
      <c r="A35" s="4" t="s">
        <v>333</v>
      </c>
      <c r="B35" s="14" t="s">
        <v>495</v>
      </c>
      <c r="C35" s="14" t="s">
        <v>496</v>
      </c>
      <c r="D35" s="4" t="s">
        <v>73</v>
      </c>
      <c r="E35" s="4" t="s">
        <v>374</v>
      </c>
      <c r="F35" s="18" t="s">
        <v>497</v>
      </c>
      <c r="G35" s="14" t="s">
        <v>498</v>
      </c>
    </row>
    <row r="36" spans="1:7">
      <c r="A36" s="4" t="s">
        <v>499</v>
      </c>
      <c r="B36" s="14" t="s">
        <v>500</v>
      </c>
      <c r="C36" s="14" t="s">
        <v>501</v>
      </c>
      <c r="D36" s="4" t="s">
        <v>502</v>
      </c>
      <c r="E36" s="4" t="s">
        <v>357</v>
      </c>
      <c r="F36" s="18" t="s">
        <v>503</v>
      </c>
      <c r="G36" s="14" t="s">
        <v>504</v>
      </c>
    </row>
    <row r="37" spans="1:7">
      <c r="A37" s="4" t="s">
        <v>505</v>
      </c>
      <c r="B37" s="14" t="s">
        <v>506</v>
      </c>
      <c r="C37" s="14" t="s">
        <v>507</v>
      </c>
      <c r="D37" s="4" t="s">
        <v>73</v>
      </c>
      <c r="E37" s="4" t="s">
        <v>374</v>
      </c>
      <c r="F37" s="18" t="s">
        <v>508</v>
      </c>
      <c r="G37" s="14" t="s">
        <v>509</v>
      </c>
    </row>
  </sheetData>
  <autoFilter ref="A4:G37"/>
  <hyperlinks>
    <hyperlink ref="F5" r:id="rId1"/>
    <hyperlink ref="F6" r:id="rId2"/>
    <hyperlink ref="F7" r:id="rId3"/>
    <hyperlink ref="F8" r:id="rId4"/>
    <hyperlink ref="F9" r:id="rId5"/>
    <hyperlink ref="F10" r:id="rId6"/>
    <hyperlink ref="F11" r:id="rId7"/>
    <hyperlink ref="F12" r:id="rId8"/>
    <hyperlink ref="F13" r:id="rId9"/>
    <hyperlink ref="F14" r:id="rId10"/>
    <hyperlink ref="F15" r:id="rId11"/>
    <hyperlink ref="F16" r:id="rId12"/>
    <hyperlink ref="F17" r:id="rId13"/>
    <hyperlink ref="F18" r:id="rId14"/>
    <hyperlink ref="F19" r:id="rId15"/>
    <hyperlink ref="F20" r:id="rId16"/>
    <hyperlink ref="F21" r:id="rId17"/>
    <hyperlink ref="F22" r:id="rId18"/>
    <hyperlink ref="F23" r:id="rId19"/>
    <hyperlink ref="F24" r:id="rId20"/>
    <hyperlink ref="F25" r:id="rId21"/>
    <hyperlink ref="F27" r:id="rId22"/>
    <hyperlink ref="F28" r:id="rId23"/>
    <hyperlink ref="F29" r:id="rId24"/>
    <hyperlink ref="F30" r:id="rId25"/>
    <hyperlink ref="F31" r:id="rId26"/>
    <hyperlink ref="F32" r:id="rId27"/>
    <hyperlink ref="F33" r:id="rId28"/>
    <hyperlink ref="F34" r:id="rId29"/>
    <hyperlink ref="F35" r:id="rId30"/>
    <hyperlink ref="F36" r:id="rId31"/>
    <hyperlink ref="F37" r:id="rId32"/>
  </hyperlinks>
  <pageMargins left="0.5" right="0.5" top="0.6" bottom="0.6" header="0.3" footer="0.3"/>
  <pageSetup paperSize="9" fitToHeight="0" orientation="landscape"/>
  <headerFooter>
    <oddFooter>&amp;L&amp;A&amp;C&amp;D&amp;R Page &amp;P of &amp;N</oddFooter>
  </headerFooter>
</worksheet>
</file>

<file path=xl/worksheets/sheet4.xml><?xml version="1.0" encoding="utf-8"?>
<worksheet xmlns="http://schemas.openxmlformats.org/spreadsheetml/2006/main" xmlns:r="http://schemas.openxmlformats.org/officeDocument/2006/relationships">
  <sheetPr>
    <tabColor rgb="FF1F3A5F"/>
    <pageSetUpPr fitToPage="1"/>
  </sheetPr>
  <dimension ref="A1:H111"/>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1.7109375" customWidth="1"/>
    <col min="2" max="2" width="46.7109375" customWidth="1"/>
    <col min="3" max="3" width="6.7109375" customWidth="1"/>
    <col min="4" max="4" width="21.7109375" customWidth="1"/>
    <col min="5" max="5" width="36.7109375" customWidth="1"/>
    <col min="6" max="6" width="12.7109375" customWidth="1"/>
    <col min="7" max="7" width="11.7109375" customWidth="1"/>
    <col min="8" max="8" width="15.7109375" customWidth="1"/>
  </cols>
  <sheetData>
    <row r="1" spans="1:8">
      <c r="A1" s="1" t="s">
        <v>510</v>
      </c>
    </row>
    <row r="2" spans="1:8">
      <c r="A2" s="2" t="s">
        <v>511</v>
      </c>
    </row>
    <row r="4" spans="1:8" ht="28" customHeight="1">
      <c r="A4" s="13" t="s">
        <v>57</v>
      </c>
      <c r="B4" s="13" t="s">
        <v>58</v>
      </c>
      <c r="C4" s="13" t="s">
        <v>59</v>
      </c>
      <c r="D4" s="13" t="s">
        <v>62</v>
      </c>
      <c r="E4" s="13" t="s">
        <v>63</v>
      </c>
      <c r="F4" s="13" t="s">
        <v>512</v>
      </c>
      <c r="G4" s="13" t="s">
        <v>513</v>
      </c>
      <c r="H4" s="13" t="s">
        <v>514</v>
      </c>
    </row>
    <row r="5" spans="1:8">
      <c r="A5" s="4" t="s">
        <v>208</v>
      </c>
      <c r="B5" s="14" t="s">
        <v>192</v>
      </c>
      <c r="C5" s="4" t="s">
        <v>130</v>
      </c>
      <c r="D5" s="4" t="s">
        <v>71</v>
      </c>
      <c r="E5" s="14" t="s">
        <v>193</v>
      </c>
      <c r="F5" s="5">
        <v>1</v>
      </c>
      <c r="G5" s="4" t="s">
        <v>515</v>
      </c>
      <c r="H5" s="4" t="s">
        <v>73</v>
      </c>
    </row>
    <row r="6" spans="1:8">
      <c r="A6" s="4" t="s">
        <v>129</v>
      </c>
      <c r="B6" s="14" t="s">
        <v>117</v>
      </c>
      <c r="C6" s="4" t="s">
        <v>130</v>
      </c>
      <c r="D6" s="4" t="s">
        <v>71</v>
      </c>
      <c r="E6" s="14" t="s">
        <v>122</v>
      </c>
      <c r="F6" s="5">
        <v>1</v>
      </c>
      <c r="G6" s="4" t="s">
        <v>515</v>
      </c>
      <c r="H6" s="4" t="s">
        <v>73</v>
      </c>
    </row>
    <row r="7" spans="1:8">
      <c r="A7" s="4" t="s">
        <v>200</v>
      </c>
      <c r="B7" s="14" t="s">
        <v>192</v>
      </c>
      <c r="C7" s="4" t="s">
        <v>132</v>
      </c>
      <c r="D7" s="4" t="s">
        <v>71</v>
      </c>
      <c r="E7" s="14" t="s">
        <v>193</v>
      </c>
      <c r="F7" s="5">
        <v>1</v>
      </c>
      <c r="G7" s="4" t="s">
        <v>515</v>
      </c>
      <c r="H7" s="4" t="s">
        <v>73</v>
      </c>
    </row>
    <row r="8" spans="1:8">
      <c r="A8" s="4" t="s">
        <v>131</v>
      </c>
      <c r="B8" s="14" t="s">
        <v>117</v>
      </c>
      <c r="C8" s="4" t="s">
        <v>132</v>
      </c>
      <c r="D8" s="4" t="s">
        <v>71</v>
      </c>
      <c r="E8" s="14" t="s">
        <v>122</v>
      </c>
      <c r="F8" s="5">
        <v>1</v>
      </c>
      <c r="G8" s="4" t="s">
        <v>515</v>
      </c>
      <c r="H8" s="4" t="s">
        <v>73</v>
      </c>
    </row>
    <row r="9" spans="1:8">
      <c r="A9" s="4" t="s">
        <v>217</v>
      </c>
      <c r="B9" s="14" t="s">
        <v>192</v>
      </c>
      <c r="C9" s="4" t="s">
        <v>134</v>
      </c>
      <c r="D9" s="4" t="s">
        <v>71</v>
      </c>
      <c r="E9" s="14" t="s">
        <v>193</v>
      </c>
      <c r="F9" s="5">
        <v>1</v>
      </c>
      <c r="G9" s="4" t="s">
        <v>515</v>
      </c>
      <c r="H9" s="4" t="s">
        <v>73</v>
      </c>
    </row>
    <row r="10" spans="1:8">
      <c r="A10" s="4" t="s">
        <v>133</v>
      </c>
      <c r="B10" s="14" t="s">
        <v>117</v>
      </c>
      <c r="C10" s="4" t="s">
        <v>134</v>
      </c>
      <c r="D10" s="4" t="s">
        <v>71</v>
      </c>
      <c r="E10" s="14" t="s">
        <v>122</v>
      </c>
      <c r="F10" s="5">
        <v>1</v>
      </c>
      <c r="G10" s="4" t="s">
        <v>515</v>
      </c>
      <c r="H10" s="4" t="s">
        <v>73</v>
      </c>
    </row>
    <row r="11" spans="1:8">
      <c r="A11" s="4" t="s">
        <v>216</v>
      </c>
      <c r="B11" s="14" t="s">
        <v>192</v>
      </c>
      <c r="C11" s="4" t="s">
        <v>137</v>
      </c>
      <c r="D11" s="4" t="s">
        <v>71</v>
      </c>
      <c r="E11" s="14" t="s">
        <v>193</v>
      </c>
      <c r="F11" s="5">
        <v>1</v>
      </c>
      <c r="G11" s="4" t="s">
        <v>515</v>
      </c>
      <c r="H11" s="4" t="s">
        <v>73</v>
      </c>
    </row>
    <row r="12" spans="1:8">
      <c r="A12" s="4" t="s">
        <v>136</v>
      </c>
      <c r="B12" s="14" t="s">
        <v>117</v>
      </c>
      <c r="C12" s="4" t="s">
        <v>137</v>
      </c>
      <c r="D12" s="4" t="s">
        <v>71</v>
      </c>
      <c r="E12" s="14" t="s">
        <v>122</v>
      </c>
      <c r="F12" s="5">
        <v>1</v>
      </c>
      <c r="G12" s="4" t="s">
        <v>515</v>
      </c>
      <c r="H12" s="4" t="s">
        <v>73</v>
      </c>
    </row>
    <row r="13" spans="1:8">
      <c r="A13" s="4" t="s">
        <v>204</v>
      </c>
      <c r="B13" s="14" t="s">
        <v>192</v>
      </c>
      <c r="C13" s="4" t="s">
        <v>139</v>
      </c>
      <c r="D13" s="4" t="s">
        <v>71</v>
      </c>
      <c r="E13" s="14" t="s">
        <v>193</v>
      </c>
      <c r="F13" s="5">
        <v>1</v>
      </c>
      <c r="G13" s="4" t="s">
        <v>515</v>
      </c>
      <c r="H13" s="4" t="s">
        <v>73</v>
      </c>
    </row>
    <row r="14" spans="1:8">
      <c r="A14" s="4" t="s">
        <v>138</v>
      </c>
      <c r="B14" s="14" t="s">
        <v>117</v>
      </c>
      <c r="C14" s="4" t="s">
        <v>139</v>
      </c>
      <c r="D14" s="4" t="s">
        <v>71</v>
      </c>
      <c r="E14" s="14" t="s">
        <v>122</v>
      </c>
      <c r="F14" s="5">
        <v>1</v>
      </c>
      <c r="G14" s="4" t="s">
        <v>515</v>
      </c>
      <c r="H14" s="4" t="s">
        <v>73</v>
      </c>
    </row>
    <row r="15" spans="1:8">
      <c r="A15" s="4" t="s">
        <v>207</v>
      </c>
      <c r="B15" s="14" t="s">
        <v>192</v>
      </c>
      <c r="C15" s="4" t="s">
        <v>141</v>
      </c>
      <c r="D15" s="4" t="s">
        <v>71</v>
      </c>
      <c r="E15" s="14" t="s">
        <v>193</v>
      </c>
      <c r="F15" s="5">
        <v>1</v>
      </c>
      <c r="G15" s="4" t="s">
        <v>515</v>
      </c>
      <c r="H15" s="4" t="s">
        <v>73</v>
      </c>
    </row>
    <row r="16" spans="1:8">
      <c r="A16" s="4" t="s">
        <v>140</v>
      </c>
      <c r="B16" s="14" t="s">
        <v>117</v>
      </c>
      <c r="C16" s="4" t="s">
        <v>141</v>
      </c>
      <c r="D16" s="4" t="s">
        <v>71</v>
      </c>
      <c r="E16" s="14" t="s">
        <v>122</v>
      </c>
      <c r="F16" s="5">
        <v>1</v>
      </c>
      <c r="G16" s="4" t="s">
        <v>515</v>
      </c>
      <c r="H16" s="4" t="s">
        <v>73</v>
      </c>
    </row>
    <row r="17" spans="1:8">
      <c r="A17" s="4" t="s">
        <v>223</v>
      </c>
      <c r="B17" s="14" t="s">
        <v>224</v>
      </c>
      <c r="C17" s="4" t="s">
        <v>70</v>
      </c>
      <c r="D17" s="4" t="s">
        <v>71</v>
      </c>
      <c r="E17" s="14" t="s">
        <v>225</v>
      </c>
      <c r="F17" s="5">
        <v>2</v>
      </c>
      <c r="G17" s="4" t="s">
        <v>516</v>
      </c>
      <c r="H17" s="4" t="s">
        <v>227</v>
      </c>
    </row>
    <row r="18" spans="1:8">
      <c r="A18" s="4" t="s">
        <v>230</v>
      </c>
      <c r="B18" s="14" t="s">
        <v>231</v>
      </c>
      <c r="C18" s="4" t="s">
        <v>70</v>
      </c>
      <c r="D18" s="4" t="s">
        <v>71</v>
      </c>
      <c r="E18" s="14" t="s">
        <v>232</v>
      </c>
      <c r="F18" s="5">
        <v>1</v>
      </c>
      <c r="G18" s="4" t="s">
        <v>517</v>
      </c>
      <c r="H18" s="4" t="s">
        <v>73</v>
      </c>
    </row>
    <row r="19" spans="1:8">
      <c r="A19" s="4" t="s">
        <v>234</v>
      </c>
      <c r="B19" s="14" t="s">
        <v>235</v>
      </c>
      <c r="C19" s="4" t="s">
        <v>70</v>
      </c>
      <c r="D19" s="4" t="s">
        <v>71</v>
      </c>
      <c r="E19" s="14" t="s">
        <v>232</v>
      </c>
      <c r="F19" s="5">
        <v>1</v>
      </c>
      <c r="G19" s="4" t="s">
        <v>517</v>
      </c>
      <c r="H19" s="4" t="s">
        <v>73</v>
      </c>
    </row>
    <row r="20" spans="1:8">
      <c r="A20" s="4" t="s">
        <v>325</v>
      </c>
      <c r="B20" s="14" t="s">
        <v>224</v>
      </c>
      <c r="C20" s="4" t="s">
        <v>70</v>
      </c>
      <c r="D20" s="4" t="s">
        <v>102</v>
      </c>
      <c r="E20" s="14" t="s">
        <v>326</v>
      </c>
      <c r="F20" s="5">
        <v>2</v>
      </c>
      <c r="G20" s="4" t="s">
        <v>516</v>
      </c>
      <c r="H20" s="4" t="s">
        <v>323</v>
      </c>
    </row>
    <row r="21" spans="1:8">
      <c r="A21" s="4" t="s">
        <v>242</v>
      </c>
      <c r="B21" s="14" t="s">
        <v>243</v>
      </c>
      <c r="C21" s="4" t="s">
        <v>70</v>
      </c>
      <c r="D21" s="4" t="s">
        <v>71</v>
      </c>
      <c r="E21" s="14" t="s">
        <v>239</v>
      </c>
      <c r="F21" s="5">
        <v>1</v>
      </c>
      <c r="G21" s="4" t="s">
        <v>518</v>
      </c>
      <c r="H21" s="4" t="s">
        <v>227</v>
      </c>
    </row>
    <row r="22" spans="1:8">
      <c r="A22" s="4" t="s">
        <v>250</v>
      </c>
      <c r="B22" s="14" t="s">
        <v>251</v>
      </c>
      <c r="C22" s="4" t="s">
        <v>70</v>
      </c>
      <c r="D22" s="4" t="s">
        <v>71</v>
      </c>
      <c r="E22" s="14" t="s">
        <v>246</v>
      </c>
      <c r="F22" s="5">
        <v>1</v>
      </c>
      <c r="G22" s="4" t="s">
        <v>519</v>
      </c>
      <c r="H22" s="4" t="s">
        <v>248</v>
      </c>
    </row>
    <row r="23" spans="1:8">
      <c r="A23" s="4" t="s">
        <v>244</v>
      </c>
      <c r="B23" s="14" t="s">
        <v>245</v>
      </c>
      <c r="C23" s="4" t="s">
        <v>70</v>
      </c>
      <c r="D23" s="4" t="s">
        <v>71</v>
      </c>
      <c r="E23" s="14" t="s">
        <v>246</v>
      </c>
      <c r="F23" s="5">
        <v>1</v>
      </c>
      <c r="G23" s="4" t="s">
        <v>519</v>
      </c>
      <c r="H23" s="4" t="s">
        <v>248</v>
      </c>
    </row>
    <row r="24" spans="1:8">
      <c r="A24" s="4" t="s">
        <v>68</v>
      </c>
      <c r="B24" s="14" t="s">
        <v>69</v>
      </c>
      <c r="C24" s="4" t="s">
        <v>70</v>
      </c>
      <c r="D24" s="4" t="s">
        <v>71</v>
      </c>
      <c r="E24" s="14" t="s">
        <v>72</v>
      </c>
      <c r="F24" s="5">
        <v>1</v>
      </c>
      <c r="G24" s="4" t="s">
        <v>515</v>
      </c>
      <c r="H24" s="4" t="s">
        <v>75</v>
      </c>
    </row>
    <row r="25" spans="1:8">
      <c r="A25" s="4" t="s">
        <v>252</v>
      </c>
      <c r="B25" s="14" t="s">
        <v>253</v>
      </c>
      <c r="C25" s="4" t="s">
        <v>70</v>
      </c>
      <c r="D25" s="4" t="s">
        <v>71</v>
      </c>
      <c r="E25" s="14" t="s">
        <v>246</v>
      </c>
      <c r="F25" s="5">
        <v>1</v>
      </c>
      <c r="G25" s="4" t="s">
        <v>517</v>
      </c>
      <c r="H25" s="4" t="s">
        <v>248</v>
      </c>
    </row>
    <row r="26" spans="1:8">
      <c r="A26" s="4" t="s">
        <v>237</v>
      </c>
      <c r="B26" s="14" t="s">
        <v>238</v>
      </c>
      <c r="C26" s="4" t="s">
        <v>70</v>
      </c>
      <c r="D26" s="4" t="s">
        <v>71</v>
      </c>
      <c r="E26" s="14" t="s">
        <v>239</v>
      </c>
      <c r="F26" s="5">
        <v>1</v>
      </c>
      <c r="G26" s="4" t="s">
        <v>518</v>
      </c>
      <c r="H26" s="4" t="s">
        <v>227</v>
      </c>
    </row>
    <row r="27" spans="1:8">
      <c r="A27" s="4" t="s">
        <v>218</v>
      </c>
      <c r="B27" s="14" t="s">
        <v>219</v>
      </c>
      <c r="C27" s="4" t="s">
        <v>70</v>
      </c>
      <c r="D27" s="4" t="s">
        <v>71</v>
      </c>
      <c r="E27" s="14" t="s">
        <v>220</v>
      </c>
      <c r="F27" s="5">
        <v>1</v>
      </c>
      <c r="G27" s="4" t="s">
        <v>515</v>
      </c>
      <c r="H27" s="4" t="s">
        <v>73</v>
      </c>
    </row>
    <row r="28" spans="1:8">
      <c r="A28" s="4" t="s">
        <v>191</v>
      </c>
      <c r="B28" s="14" t="s">
        <v>192</v>
      </c>
      <c r="C28" s="4" t="s">
        <v>70</v>
      </c>
      <c r="D28" s="4" t="s">
        <v>71</v>
      </c>
      <c r="E28" s="14" t="s">
        <v>193</v>
      </c>
      <c r="F28" s="5">
        <v>2</v>
      </c>
      <c r="G28" s="4" t="s">
        <v>520</v>
      </c>
      <c r="H28" s="4" t="s">
        <v>195</v>
      </c>
    </row>
    <row r="29" spans="1:8">
      <c r="A29" s="4" t="s">
        <v>116</v>
      </c>
      <c r="B29" s="14" t="s">
        <v>117</v>
      </c>
      <c r="C29" s="4" t="s">
        <v>70</v>
      </c>
      <c r="D29" s="4" t="s">
        <v>71</v>
      </c>
      <c r="E29" s="14" t="s">
        <v>118</v>
      </c>
      <c r="F29" s="5">
        <v>4</v>
      </c>
      <c r="G29" s="4" t="s">
        <v>521</v>
      </c>
      <c r="H29" s="4" t="s">
        <v>73</v>
      </c>
    </row>
    <row r="30" spans="1:8">
      <c r="A30" s="4" t="s">
        <v>282</v>
      </c>
      <c r="B30" s="14" t="s">
        <v>283</v>
      </c>
      <c r="C30" s="4" t="s">
        <v>70</v>
      </c>
      <c r="D30" s="4" t="s">
        <v>71</v>
      </c>
      <c r="E30" s="14" t="s">
        <v>220</v>
      </c>
      <c r="F30" s="5">
        <v>1</v>
      </c>
      <c r="G30" s="4" t="s">
        <v>519</v>
      </c>
      <c r="H30" s="4" t="s">
        <v>284</v>
      </c>
    </row>
    <row r="31" spans="1:8">
      <c r="A31" s="4" t="s">
        <v>286</v>
      </c>
      <c r="B31" s="14" t="s">
        <v>287</v>
      </c>
      <c r="C31" s="4" t="s">
        <v>70</v>
      </c>
      <c r="D31" s="4" t="s">
        <v>71</v>
      </c>
      <c r="E31" s="14" t="s">
        <v>288</v>
      </c>
      <c r="F31" s="5">
        <v>1</v>
      </c>
      <c r="G31" s="4" t="s">
        <v>519</v>
      </c>
      <c r="H31" s="4" t="s">
        <v>289</v>
      </c>
    </row>
    <row r="32" spans="1:8">
      <c r="A32" s="4" t="s">
        <v>290</v>
      </c>
      <c r="B32" s="14" t="s">
        <v>291</v>
      </c>
      <c r="C32" s="4" t="s">
        <v>70</v>
      </c>
      <c r="D32" s="4" t="s">
        <v>71</v>
      </c>
      <c r="E32" s="14" t="s">
        <v>292</v>
      </c>
      <c r="F32" s="5">
        <v>1</v>
      </c>
      <c r="G32" s="4" t="s">
        <v>519</v>
      </c>
      <c r="H32" s="4" t="s">
        <v>289</v>
      </c>
    </row>
    <row r="33" spans="1:8">
      <c r="A33" s="4" t="s">
        <v>277</v>
      </c>
      <c r="B33" s="14" t="s">
        <v>278</v>
      </c>
      <c r="C33" s="4" t="s">
        <v>70</v>
      </c>
      <c r="D33" s="4" t="s">
        <v>71</v>
      </c>
      <c r="E33" s="14" t="s">
        <v>279</v>
      </c>
      <c r="F33" s="5">
        <v>1</v>
      </c>
      <c r="G33" s="4" t="s">
        <v>519</v>
      </c>
      <c r="H33" s="4" t="s">
        <v>73</v>
      </c>
    </row>
    <row r="34" spans="1:8">
      <c r="A34" s="4" t="s">
        <v>302</v>
      </c>
      <c r="B34" s="14" t="s">
        <v>303</v>
      </c>
      <c r="C34" s="4" t="s">
        <v>70</v>
      </c>
      <c r="D34" s="4" t="s">
        <v>71</v>
      </c>
      <c r="E34" s="14" t="s">
        <v>304</v>
      </c>
      <c r="F34" s="5">
        <v>1</v>
      </c>
      <c r="G34" s="4" t="s">
        <v>522</v>
      </c>
      <c r="H34" s="4" t="s">
        <v>305</v>
      </c>
    </row>
    <row r="35" spans="1:8">
      <c r="A35" s="4" t="s">
        <v>100</v>
      </c>
      <c r="B35" s="14" t="s">
        <v>101</v>
      </c>
      <c r="C35" s="4" t="s">
        <v>70</v>
      </c>
      <c r="D35" s="4" t="s">
        <v>102</v>
      </c>
      <c r="E35" s="14" t="s">
        <v>103</v>
      </c>
      <c r="F35" s="5">
        <v>6</v>
      </c>
      <c r="G35" s="4" t="s">
        <v>523</v>
      </c>
      <c r="H35" s="4" t="s">
        <v>105</v>
      </c>
    </row>
    <row r="36" spans="1:8">
      <c r="A36" s="4" t="s">
        <v>110</v>
      </c>
      <c r="B36" s="14" t="s">
        <v>111</v>
      </c>
      <c r="C36" s="4" t="s">
        <v>70</v>
      </c>
      <c r="D36" s="4" t="s">
        <v>102</v>
      </c>
      <c r="E36" s="14" t="s">
        <v>112</v>
      </c>
      <c r="F36" s="5">
        <v>2</v>
      </c>
      <c r="G36" s="4" t="s">
        <v>524</v>
      </c>
      <c r="H36" s="4" t="s">
        <v>109</v>
      </c>
    </row>
    <row r="37" spans="1:8">
      <c r="A37" s="4" t="s">
        <v>106</v>
      </c>
      <c r="B37" s="14" t="s">
        <v>107</v>
      </c>
      <c r="C37" s="4" t="s">
        <v>70</v>
      </c>
      <c r="D37" s="4" t="s">
        <v>102</v>
      </c>
      <c r="E37" s="14" t="s">
        <v>108</v>
      </c>
      <c r="F37" s="5">
        <v>2</v>
      </c>
      <c r="G37" s="4" t="s">
        <v>524</v>
      </c>
      <c r="H37" s="4" t="s">
        <v>109</v>
      </c>
    </row>
    <row r="38" spans="1:8">
      <c r="A38" s="4" t="s">
        <v>329</v>
      </c>
      <c r="B38" s="14" t="s">
        <v>330</v>
      </c>
      <c r="C38" s="4" t="s">
        <v>70</v>
      </c>
      <c r="D38" s="4" t="s">
        <v>331</v>
      </c>
      <c r="E38" s="14" t="s">
        <v>332</v>
      </c>
      <c r="F38" s="5">
        <v>1</v>
      </c>
      <c r="G38" s="4" t="s">
        <v>525</v>
      </c>
      <c r="H38" s="4" t="s">
        <v>73</v>
      </c>
    </row>
    <row r="39" spans="1:8">
      <c r="A39" s="4" t="s">
        <v>335</v>
      </c>
      <c r="B39" s="14" t="s">
        <v>336</v>
      </c>
      <c r="C39" s="4" t="s">
        <v>70</v>
      </c>
      <c r="D39" s="4" t="s">
        <v>331</v>
      </c>
      <c r="E39" s="14" t="s">
        <v>337</v>
      </c>
      <c r="F39" s="5">
        <v>1</v>
      </c>
      <c r="G39" s="4" t="s">
        <v>525</v>
      </c>
      <c r="H39" s="4" t="s">
        <v>73</v>
      </c>
    </row>
    <row r="40" spans="1:8">
      <c r="A40" s="4" t="s">
        <v>293</v>
      </c>
      <c r="B40" s="14" t="s">
        <v>294</v>
      </c>
      <c r="C40" s="4" t="s">
        <v>70</v>
      </c>
      <c r="D40" s="4" t="s">
        <v>295</v>
      </c>
      <c r="E40" s="14" t="s">
        <v>296</v>
      </c>
      <c r="F40" s="5">
        <v>1</v>
      </c>
      <c r="G40" s="4" t="s">
        <v>519</v>
      </c>
      <c r="H40" s="4" t="s">
        <v>73</v>
      </c>
    </row>
    <row r="41" spans="1:8">
      <c r="A41" s="4" t="s">
        <v>299</v>
      </c>
      <c r="B41" s="14" t="s">
        <v>300</v>
      </c>
      <c r="C41" s="4" t="s">
        <v>70</v>
      </c>
      <c r="D41" s="4" t="s">
        <v>295</v>
      </c>
      <c r="E41" s="14" t="s">
        <v>296</v>
      </c>
      <c r="F41" s="5">
        <v>1</v>
      </c>
      <c r="G41" s="4" t="s">
        <v>519</v>
      </c>
      <c r="H41" s="4" t="s">
        <v>73</v>
      </c>
    </row>
    <row r="42" spans="1:8">
      <c r="A42" s="4" t="s">
        <v>80</v>
      </c>
      <c r="B42" s="14" t="s">
        <v>81</v>
      </c>
      <c r="C42" s="4" t="s">
        <v>70</v>
      </c>
      <c r="D42" s="4" t="s">
        <v>71</v>
      </c>
      <c r="E42" s="14" t="s">
        <v>82</v>
      </c>
      <c r="F42" s="5">
        <v>3</v>
      </c>
      <c r="G42" s="4" t="s">
        <v>526</v>
      </c>
      <c r="H42" s="4" t="s">
        <v>84</v>
      </c>
    </row>
    <row r="43" spans="1:8">
      <c r="A43" s="4" t="s">
        <v>85</v>
      </c>
      <c r="B43" s="14" t="s">
        <v>86</v>
      </c>
      <c r="C43" s="4" t="s">
        <v>70</v>
      </c>
      <c r="D43" s="4" t="s">
        <v>71</v>
      </c>
      <c r="E43" s="14" t="s">
        <v>82</v>
      </c>
      <c r="F43" s="5">
        <v>2</v>
      </c>
      <c r="G43" s="4" t="s">
        <v>526</v>
      </c>
      <c r="H43" s="4" t="s">
        <v>84</v>
      </c>
    </row>
    <row r="44" spans="1:8">
      <c r="A44" s="4" t="s">
        <v>90</v>
      </c>
      <c r="B44" s="14" t="s">
        <v>91</v>
      </c>
      <c r="C44" s="4" t="s">
        <v>70</v>
      </c>
      <c r="D44" s="4" t="s">
        <v>71</v>
      </c>
      <c r="E44" s="14" t="s">
        <v>82</v>
      </c>
      <c r="F44" s="5">
        <v>1</v>
      </c>
      <c r="G44" s="4" t="s">
        <v>519</v>
      </c>
      <c r="H44" s="4" t="s">
        <v>73</v>
      </c>
    </row>
    <row r="45" spans="1:8">
      <c r="A45" s="4" t="s">
        <v>92</v>
      </c>
      <c r="B45" s="14" t="s">
        <v>93</v>
      </c>
      <c r="C45" s="4" t="s">
        <v>70</v>
      </c>
      <c r="D45" s="4" t="s">
        <v>71</v>
      </c>
      <c r="E45" s="14" t="s">
        <v>94</v>
      </c>
      <c r="F45" s="5">
        <v>1</v>
      </c>
      <c r="G45" s="4" t="s">
        <v>519</v>
      </c>
      <c r="H45" s="4" t="s">
        <v>73</v>
      </c>
    </row>
    <row r="46" spans="1:8">
      <c r="A46" s="4" t="s">
        <v>96</v>
      </c>
      <c r="B46" s="14" t="s">
        <v>97</v>
      </c>
      <c r="C46" s="4" t="s">
        <v>70</v>
      </c>
      <c r="D46" s="4" t="s">
        <v>71</v>
      </c>
      <c r="E46" s="14" t="s">
        <v>98</v>
      </c>
      <c r="F46" s="5">
        <v>3</v>
      </c>
      <c r="G46" s="4" t="s">
        <v>527</v>
      </c>
      <c r="H46" s="4" t="s">
        <v>73</v>
      </c>
    </row>
    <row r="47" spans="1:8">
      <c r="A47" s="4" t="s">
        <v>87</v>
      </c>
      <c r="B47" s="14" t="s">
        <v>88</v>
      </c>
      <c r="C47" s="4" t="s">
        <v>70</v>
      </c>
      <c r="D47" s="4" t="s">
        <v>71</v>
      </c>
      <c r="E47" s="14" t="s">
        <v>82</v>
      </c>
      <c r="F47" s="5">
        <v>1</v>
      </c>
      <c r="G47" s="4" t="s">
        <v>519</v>
      </c>
      <c r="H47" s="4" t="s">
        <v>84</v>
      </c>
    </row>
    <row r="48" spans="1:8">
      <c r="A48" s="4" t="s">
        <v>319</v>
      </c>
      <c r="B48" s="14" t="s">
        <v>320</v>
      </c>
      <c r="C48" s="4" t="s">
        <v>70</v>
      </c>
      <c r="D48" s="4" t="s">
        <v>102</v>
      </c>
      <c r="E48" s="14" t="s">
        <v>321</v>
      </c>
      <c r="F48" s="5">
        <v>1</v>
      </c>
      <c r="G48" s="4" t="s">
        <v>518</v>
      </c>
      <c r="H48" s="4" t="s">
        <v>323</v>
      </c>
    </row>
    <row r="49" spans="1:8">
      <c r="A49" s="4" t="s">
        <v>339</v>
      </c>
      <c r="B49" s="14" t="s">
        <v>340</v>
      </c>
      <c r="C49" s="4" t="s">
        <v>70</v>
      </c>
      <c r="D49" s="4" t="s">
        <v>341</v>
      </c>
      <c r="E49" s="14" t="s">
        <v>342</v>
      </c>
      <c r="F49" s="5">
        <v>21</v>
      </c>
      <c r="G49" s="4" t="s">
        <v>528</v>
      </c>
      <c r="H49" s="4" t="s">
        <v>344</v>
      </c>
    </row>
    <row r="50" spans="1:8">
      <c r="A50" s="4" t="s">
        <v>261</v>
      </c>
      <c r="B50" s="14" t="s">
        <v>262</v>
      </c>
      <c r="C50" s="4" t="s">
        <v>70</v>
      </c>
      <c r="D50" s="4" t="s">
        <v>71</v>
      </c>
      <c r="E50" s="14" t="s">
        <v>232</v>
      </c>
      <c r="F50" s="5">
        <v>1</v>
      </c>
      <c r="G50" s="4" t="s">
        <v>519</v>
      </c>
      <c r="H50" s="4" t="s">
        <v>263</v>
      </c>
    </row>
    <row r="51" spans="1:8">
      <c r="A51" s="4" t="s">
        <v>265</v>
      </c>
      <c r="B51" s="14" t="s">
        <v>266</v>
      </c>
      <c r="C51" s="4" t="s">
        <v>70</v>
      </c>
      <c r="D51" s="4" t="s">
        <v>71</v>
      </c>
      <c r="E51" s="14" t="s">
        <v>232</v>
      </c>
      <c r="F51" s="5">
        <v>1</v>
      </c>
      <c r="G51" s="4" t="s">
        <v>519</v>
      </c>
      <c r="H51" s="4" t="s">
        <v>263</v>
      </c>
    </row>
    <row r="52" spans="1:8">
      <c r="A52" s="4" t="s">
        <v>268</v>
      </c>
      <c r="B52" s="14" t="s">
        <v>269</v>
      </c>
      <c r="C52" s="4" t="s">
        <v>70</v>
      </c>
      <c r="D52" s="4" t="s">
        <v>71</v>
      </c>
      <c r="E52" s="14" t="s">
        <v>232</v>
      </c>
      <c r="F52" s="5">
        <v>1</v>
      </c>
      <c r="G52" s="4" t="s">
        <v>519</v>
      </c>
      <c r="H52" s="4" t="s">
        <v>263</v>
      </c>
    </row>
    <row r="53" spans="1:8">
      <c r="A53" s="4" t="s">
        <v>314</v>
      </c>
      <c r="B53" s="14" t="s">
        <v>315</v>
      </c>
      <c r="C53" s="4" t="s">
        <v>70</v>
      </c>
      <c r="D53" s="4" t="s">
        <v>71</v>
      </c>
      <c r="E53" s="14" t="s">
        <v>316</v>
      </c>
      <c r="F53" s="5">
        <v>1</v>
      </c>
      <c r="G53" s="4" t="s">
        <v>519</v>
      </c>
      <c r="H53" s="4" t="s">
        <v>312</v>
      </c>
    </row>
    <row r="54" spans="1:8">
      <c r="A54" s="4" t="s">
        <v>317</v>
      </c>
      <c r="B54" s="14" t="s">
        <v>318</v>
      </c>
      <c r="C54" s="4" t="s">
        <v>70</v>
      </c>
      <c r="D54" s="4" t="s">
        <v>71</v>
      </c>
      <c r="E54" s="14" t="s">
        <v>316</v>
      </c>
      <c r="F54" s="5">
        <v>1</v>
      </c>
      <c r="G54" s="4" t="s">
        <v>519</v>
      </c>
      <c r="H54" s="4" t="s">
        <v>312</v>
      </c>
    </row>
    <row r="55" spans="1:8">
      <c r="A55" s="4" t="s">
        <v>308</v>
      </c>
      <c r="B55" s="14" t="s">
        <v>309</v>
      </c>
      <c r="C55" s="4" t="s">
        <v>70</v>
      </c>
      <c r="D55" s="4" t="s">
        <v>102</v>
      </c>
      <c r="E55" s="14" t="s">
        <v>310</v>
      </c>
      <c r="F55" s="5">
        <v>1</v>
      </c>
      <c r="G55" s="4" t="s">
        <v>519</v>
      </c>
      <c r="H55" s="4" t="s">
        <v>312</v>
      </c>
    </row>
    <row r="56" spans="1:8">
      <c r="A56" s="4" t="s">
        <v>259</v>
      </c>
      <c r="B56" s="14" t="s">
        <v>260</v>
      </c>
      <c r="C56" s="4" t="s">
        <v>70</v>
      </c>
      <c r="D56" s="4" t="s">
        <v>71</v>
      </c>
      <c r="E56" s="14" t="s">
        <v>239</v>
      </c>
      <c r="F56" s="5">
        <v>2</v>
      </c>
      <c r="G56" s="4" t="s">
        <v>526</v>
      </c>
      <c r="H56" s="4" t="s">
        <v>73</v>
      </c>
    </row>
    <row r="57" spans="1:8">
      <c r="A57" s="4" t="s">
        <v>256</v>
      </c>
      <c r="B57" s="14" t="s">
        <v>257</v>
      </c>
      <c r="C57" s="4" t="s">
        <v>70</v>
      </c>
      <c r="D57" s="4" t="s">
        <v>71</v>
      </c>
      <c r="E57" s="14" t="s">
        <v>239</v>
      </c>
      <c r="F57" s="5">
        <v>2</v>
      </c>
      <c r="G57" s="4" t="s">
        <v>529</v>
      </c>
      <c r="H57" s="4" t="s">
        <v>73</v>
      </c>
    </row>
    <row r="58" spans="1:8">
      <c r="A58" s="4" t="s">
        <v>144</v>
      </c>
      <c r="B58" s="14" t="s">
        <v>117</v>
      </c>
      <c r="C58" s="4" t="s">
        <v>145</v>
      </c>
      <c r="D58" s="4" t="s">
        <v>71</v>
      </c>
      <c r="E58" s="14" t="s">
        <v>122</v>
      </c>
      <c r="F58" s="5">
        <v>1</v>
      </c>
      <c r="G58" s="4" t="s">
        <v>515</v>
      </c>
      <c r="H58" s="4" t="s">
        <v>73</v>
      </c>
    </row>
    <row r="59" spans="1:8">
      <c r="A59" s="4" t="s">
        <v>146</v>
      </c>
      <c r="B59" s="14" t="s">
        <v>117</v>
      </c>
      <c r="C59" s="4" t="s">
        <v>147</v>
      </c>
      <c r="D59" s="4" t="s">
        <v>71</v>
      </c>
      <c r="E59" s="14" t="s">
        <v>122</v>
      </c>
      <c r="F59" s="5">
        <v>1</v>
      </c>
      <c r="G59" s="4" t="s">
        <v>515</v>
      </c>
      <c r="H59" s="4" t="s">
        <v>73</v>
      </c>
    </row>
    <row r="60" spans="1:8">
      <c r="A60" s="4" t="s">
        <v>210</v>
      </c>
      <c r="B60" s="14" t="s">
        <v>192</v>
      </c>
      <c r="C60" s="4" t="s">
        <v>149</v>
      </c>
      <c r="D60" s="4" t="s">
        <v>71</v>
      </c>
      <c r="E60" s="14" t="s">
        <v>193</v>
      </c>
      <c r="F60" s="5">
        <v>1</v>
      </c>
      <c r="G60" s="4" t="s">
        <v>515</v>
      </c>
      <c r="H60" s="4" t="s">
        <v>73</v>
      </c>
    </row>
    <row r="61" spans="1:8">
      <c r="A61" s="4" t="s">
        <v>148</v>
      </c>
      <c r="B61" s="14" t="s">
        <v>117</v>
      </c>
      <c r="C61" s="4" t="s">
        <v>149</v>
      </c>
      <c r="D61" s="4" t="s">
        <v>71</v>
      </c>
      <c r="E61" s="14" t="s">
        <v>122</v>
      </c>
      <c r="F61" s="5">
        <v>1</v>
      </c>
      <c r="G61" s="4" t="s">
        <v>515</v>
      </c>
      <c r="H61" s="4" t="s">
        <v>73</v>
      </c>
    </row>
    <row r="62" spans="1:8">
      <c r="A62" s="4" t="s">
        <v>77</v>
      </c>
      <c r="B62" s="14" t="s">
        <v>69</v>
      </c>
      <c r="C62" s="4" t="s">
        <v>78</v>
      </c>
      <c r="D62" s="4" t="s">
        <v>71</v>
      </c>
      <c r="E62" s="14" t="s">
        <v>72</v>
      </c>
      <c r="F62" s="5">
        <v>1</v>
      </c>
      <c r="G62" s="4" t="s">
        <v>515</v>
      </c>
      <c r="H62" s="4" t="s">
        <v>75</v>
      </c>
    </row>
    <row r="63" spans="1:8">
      <c r="A63" s="4" t="s">
        <v>197</v>
      </c>
      <c r="B63" s="14" t="s">
        <v>192</v>
      </c>
      <c r="C63" s="4" t="s">
        <v>78</v>
      </c>
      <c r="D63" s="4" t="s">
        <v>71</v>
      </c>
      <c r="E63" s="14" t="s">
        <v>193</v>
      </c>
      <c r="F63" s="5">
        <v>2</v>
      </c>
      <c r="G63" s="4" t="s">
        <v>520</v>
      </c>
      <c r="H63" s="4" t="s">
        <v>195</v>
      </c>
    </row>
    <row r="64" spans="1:8">
      <c r="A64" s="4" t="s">
        <v>127</v>
      </c>
      <c r="B64" s="14" t="s">
        <v>117</v>
      </c>
      <c r="C64" s="4" t="s">
        <v>78</v>
      </c>
      <c r="D64" s="4" t="s">
        <v>71</v>
      </c>
      <c r="E64" s="14" t="s">
        <v>122</v>
      </c>
      <c r="F64" s="5">
        <v>2</v>
      </c>
      <c r="G64" s="4" t="s">
        <v>520</v>
      </c>
      <c r="H64" s="4" t="s">
        <v>73</v>
      </c>
    </row>
    <row r="65" spans="1:8">
      <c r="A65" s="4" t="s">
        <v>281</v>
      </c>
      <c r="B65" s="14" t="s">
        <v>278</v>
      </c>
      <c r="C65" s="4" t="s">
        <v>78</v>
      </c>
      <c r="D65" s="4" t="s">
        <v>71</v>
      </c>
      <c r="E65" s="14" t="s">
        <v>279</v>
      </c>
      <c r="F65" s="5">
        <v>1</v>
      </c>
      <c r="G65" s="4" t="s">
        <v>519</v>
      </c>
      <c r="H65" s="4" t="s">
        <v>73</v>
      </c>
    </row>
    <row r="66" spans="1:8">
      <c r="A66" s="4" t="s">
        <v>307</v>
      </c>
      <c r="B66" s="14" t="s">
        <v>303</v>
      </c>
      <c r="C66" s="4" t="s">
        <v>78</v>
      </c>
      <c r="D66" s="4" t="s">
        <v>71</v>
      </c>
      <c r="E66" s="14" t="s">
        <v>304</v>
      </c>
      <c r="F66" s="5">
        <v>1</v>
      </c>
      <c r="G66" s="4" t="s">
        <v>522</v>
      </c>
      <c r="H66" s="4" t="s">
        <v>305</v>
      </c>
    </row>
    <row r="67" spans="1:8">
      <c r="A67" s="4" t="s">
        <v>298</v>
      </c>
      <c r="B67" s="14" t="s">
        <v>294</v>
      </c>
      <c r="C67" s="4" t="s">
        <v>78</v>
      </c>
      <c r="D67" s="4" t="s">
        <v>295</v>
      </c>
      <c r="E67" s="14" t="s">
        <v>296</v>
      </c>
      <c r="F67" s="5">
        <v>1</v>
      </c>
      <c r="G67" s="4" t="s">
        <v>519</v>
      </c>
      <c r="H67" s="4" t="s">
        <v>73</v>
      </c>
    </row>
    <row r="68" spans="1:8">
      <c r="A68" s="4" t="s">
        <v>271</v>
      </c>
      <c r="B68" s="14" t="s">
        <v>262</v>
      </c>
      <c r="C68" s="4" t="s">
        <v>78</v>
      </c>
      <c r="D68" s="4" t="s">
        <v>71</v>
      </c>
      <c r="E68" s="14" t="s">
        <v>232</v>
      </c>
      <c r="F68" s="5">
        <v>1</v>
      </c>
      <c r="G68" s="4" t="s">
        <v>519</v>
      </c>
      <c r="H68" s="4" t="s">
        <v>263</v>
      </c>
    </row>
    <row r="69" spans="1:8">
      <c r="A69" s="4" t="s">
        <v>273</v>
      </c>
      <c r="B69" s="14" t="s">
        <v>266</v>
      </c>
      <c r="C69" s="4" t="s">
        <v>78</v>
      </c>
      <c r="D69" s="4" t="s">
        <v>71</v>
      </c>
      <c r="E69" s="14" t="s">
        <v>232</v>
      </c>
      <c r="F69" s="5">
        <v>1</v>
      </c>
      <c r="G69" s="4" t="s">
        <v>519</v>
      </c>
      <c r="H69" s="4" t="s">
        <v>263</v>
      </c>
    </row>
    <row r="70" spans="1:8">
      <c r="A70" s="4" t="s">
        <v>275</v>
      </c>
      <c r="B70" s="14" t="s">
        <v>269</v>
      </c>
      <c r="C70" s="4" t="s">
        <v>78</v>
      </c>
      <c r="D70" s="4" t="s">
        <v>71</v>
      </c>
      <c r="E70" s="14" t="s">
        <v>232</v>
      </c>
      <c r="F70" s="5">
        <v>1</v>
      </c>
      <c r="G70" s="4" t="s">
        <v>519</v>
      </c>
      <c r="H70" s="4" t="s">
        <v>263</v>
      </c>
    </row>
    <row r="71" spans="1:8">
      <c r="A71" s="4" t="s">
        <v>150</v>
      </c>
      <c r="B71" s="14" t="s">
        <v>117</v>
      </c>
      <c r="C71" s="4" t="s">
        <v>151</v>
      </c>
      <c r="D71" s="4" t="s">
        <v>71</v>
      </c>
      <c r="E71" s="14" t="s">
        <v>122</v>
      </c>
      <c r="F71" s="5">
        <v>1</v>
      </c>
      <c r="G71" s="4" t="s">
        <v>515</v>
      </c>
      <c r="H71" s="4" t="s">
        <v>73</v>
      </c>
    </row>
    <row r="72" spans="1:8">
      <c r="A72" s="4" t="s">
        <v>215</v>
      </c>
      <c r="B72" s="14" t="s">
        <v>192</v>
      </c>
      <c r="C72" s="4" t="s">
        <v>153</v>
      </c>
      <c r="D72" s="4" t="s">
        <v>71</v>
      </c>
      <c r="E72" s="14" t="s">
        <v>193</v>
      </c>
      <c r="F72" s="5">
        <v>1</v>
      </c>
      <c r="G72" s="4" t="s">
        <v>515</v>
      </c>
      <c r="H72" s="4" t="s">
        <v>73</v>
      </c>
    </row>
    <row r="73" spans="1:8">
      <c r="A73" s="4" t="s">
        <v>152</v>
      </c>
      <c r="B73" s="14" t="s">
        <v>117</v>
      </c>
      <c r="C73" s="4" t="s">
        <v>153</v>
      </c>
      <c r="D73" s="4" t="s">
        <v>71</v>
      </c>
      <c r="E73" s="14" t="s">
        <v>122</v>
      </c>
      <c r="F73" s="5">
        <v>1</v>
      </c>
      <c r="G73" s="4" t="s">
        <v>515</v>
      </c>
      <c r="H73" s="4" t="s">
        <v>73</v>
      </c>
    </row>
    <row r="74" spans="1:8">
      <c r="A74" s="4" t="s">
        <v>209</v>
      </c>
      <c r="B74" s="14" t="s">
        <v>192</v>
      </c>
      <c r="C74" s="4" t="s">
        <v>155</v>
      </c>
      <c r="D74" s="4" t="s">
        <v>71</v>
      </c>
      <c r="E74" s="14" t="s">
        <v>193</v>
      </c>
      <c r="F74" s="5">
        <v>1</v>
      </c>
      <c r="G74" s="4" t="s">
        <v>515</v>
      </c>
      <c r="H74" s="4" t="s">
        <v>73</v>
      </c>
    </row>
    <row r="75" spans="1:8">
      <c r="A75" s="4" t="s">
        <v>154</v>
      </c>
      <c r="B75" s="14" t="s">
        <v>117</v>
      </c>
      <c r="C75" s="4" t="s">
        <v>155</v>
      </c>
      <c r="D75" s="4" t="s">
        <v>71</v>
      </c>
      <c r="E75" s="14" t="s">
        <v>122</v>
      </c>
      <c r="F75" s="5">
        <v>1</v>
      </c>
      <c r="G75" s="4" t="s">
        <v>515</v>
      </c>
      <c r="H75" s="4" t="s">
        <v>73</v>
      </c>
    </row>
    <row r="76" spans="1:8">
      <c r="A76" s="4" t="s">
        <v>206</v>
      </c>
      <c r="B76" s="14" t="s">
        <v>192</v>
      </c>
      <c r="C76" s="4" t="s">
        <v>157</v>
      </c>
      <c r="D76" s="4" t="s">
        <v>71</v>
      </c>
      <c r="E76" s="14" t="s">
        <v>193</v>
      </c>
      <c r="F76" s="5">
        <v>1</v>
      </c>
      <c r="G76" s="4" t="s">
        <v>515</v>
      </c>
      <c r="H76" s="4" t="s">
        <v>73</v>
      </c>
    </row>
    <row r="77" spans="1:8">
      <c r="A77" s="4" t="s">
        <v>156</v>
      </c>
      <c r="B77" s="14" t="s">
        <v>117</v>
      </c>
      <c r="C77" s="4" t="s">
        <v>157</v>
      </c>
      <c r="D77" s="4" t="s">
        <v>71</v>
      </c>
      <c r="E77" s="14" t="s">
        <v>122</v>
      </c>
      <c r="F77" s="5">
        <v>1</v>
      </c>
      <c r="G77" s="4" t="s">
        <v>515</v>
      </c>
      <c r="H77" s="4" t="s">
        <v>73</v>
      </c>
    </row>
    <row r="78" spans="1:8">
      <c r="A78" s="4" t="s">
        <v>198</v>
      </c>
      <c r="B78" s="14" t="s">
        <v>192</v>
      </c>
      <c r="C78" s="4" t="s">
        <v>160</v>
      </c>
      <c r="D78" s="4" t="s">
        <v>71</v>
      </c>
      <c r="E78" s="14" t="s">
        <v>193</v>
      </c>
      <c r="F78" s="5">
        <v>1</v>
      </c>
      <c r="G78" s="4" t="s">
        <v>515</v>
      </c>
      <c r="H78" s="4" t="s">
        <v>73</v>
      </c>
    </row>
    <row r="79" spans="1:8">
      <c r="A79" s="4" t="s">
        <v>159</v>
      </c>
      <c r="B79" s="14" t="s">
        <v>117</v>
      </c>
      <c r="C79" s="4" t="s">
        <v>160</v>
      </c>
      <c r="D79" s="4" t="s">
        <v>71</v>
      </c>
      <c r="E79" s="14" t="s">
        <v>122</v>
      </c>
      <c r="F79" s="5">
        <v>1</v>
      </c>
      <c r="G79" s="4" t="s">
        <v>515</v>
      </c>
      <c r="H79" s="4" t="s">
        <v>73</v>
      </c>
    </row>
    <row r="80" spans="1:8">
      <c r="A80" s="4" t="s">
        <v>213</v>
      </c>
      <c r="B80" s="14" t="s">
        <v>192</v>
      </c>
      <c r="C80" s="4" t="s">
        <v>163</v>
      </c>
      <c r="D80" s="4" t="s">
        <v>71</v>
      </c>
      <c r="E80" s="14" t="s">
        <v>193</v>
      </c>
      <c r="F80" s="5">
        <v>1</v>
      </c>
      <c r="G80" s="4" t="s">
        <v>515</v>
      </c>
      <c r="H80" s="4" t="s">
        <v>73</v>
      </c>
    </row>
    <row r="81" spans="1:8">
      <c r="A81" s="4" t="s">
        <v>162</v>
      </c>
      <c r="B81" s="14" t="s">
        <v>117</v>
      </c>
      <c r="C81" s="4" t="s">
        <v>163</v>
      </c>
      <c r="D81" s="4" t="s">
        <v>71</v>
      </c>
      <c r="E81" s="14" t="s">
        <v>122</v>
      </c>
      <c r="F81" s="5">
        <v>1</v>
      </c>
      <c r="G81" s="4" t="s">
        <v>515</v>
      </c>
      <c r="H81" s="4" t="s">
        <v>73</v>
      </c>
    </row>
    <row r="82" spans="1:8">
      <c r="A82" s="4" t="s">
        <v>222</v>
      </c>
      <c r="B82" s="14" t="s">
        <v>219</v>
      </c>
      <c r="C82" s="4" t="s">
        <v>166</v>
      </c>
      <c r="D82" s="4" t="s">
        <v>71</v>
      </c>
      <c r="E82" s="14" t="s">
        <v>220</v>
      </c>
      <c r="F82" s="5">
        <v>1</v>
      </c>
      <c r="G82" s="4" t="s">
        <v>515</v>
      </c>
      <c r="H82" s="4" t="s">
        <v>73</v>
      </c>
    </row>
    <row r="83" spans="1:8">
      <c r="A83" s="4" t="s">
        <v>165</v>
      </c>
      <c r="B83" s="14" t="s">
        <v>117</v>
      </c>
      <c r="C83" s="4" t="s">
        <v>166</v>
      </c>
      <c r="D83" s="4" t="s">
        <v>71</v>
      </c>
      <c r="E83" s="14" t="s">
        <v>122</v>
      </c>
      <c r="F83" s="5">
        <v>1</v>
      </c>
      <c r="G83" s="4" t="s">
        <v>515</v>
      </c>
      <c r="H83" s="4" t="s">
        <v>73</v>
      </c>
    </row>
    <row r="84" spans="1:8">
      <c r="A84" s="4" t="s">
        <v>205</v>
      </c>
      <c r="B84" s="14" t="s">
        <v>192</v>
      </c>
      <c r="C84" s="4" t="s">
        <v>169</v>
      </c>
      <c r="D84" s="4" t="s">
        <v>71</v>
      </c>
      <c r="E84" s="14" t="s">
        <v>193</v>
      </c>
      <c r="F84" s="5">
        <v>1</v>
      </c>
      <c r="G84" s="4" t="s">
        <v>515</v>
      </c>
      <c r="H84" s="4" t="s">
        <v>73</v>
      </c>
    </row>
    <row r="85" spans="1:8">
      <c r="A85" s="4" t="s">
        <v>168</v>
      </c>
      <c r="B85" s="14" t="s">
        <v>117</v>
      </c>
      <c r="C85" s="4" t="s">
        <v>169</v>
      </c>
      <c r="D85" s="4" t="s">
        <v>71</v>
      </c>
      <c r="E85" s="14" t="s">
        <v>122</v>
      </c>
      <c r="F85" s="5">
        <v>1</v>
      </c>
      <c r="G85" s="4" t="s">
        <v>515</v>
      </c>
      <c r="H85" s="4" t="s">
        <v>73</v>
      </c>
    </row>
    <row r="86" spans="1:8">
      <c r="A86" s="4" t="s">
        <v>170</v>
      </c>
      <c r="B86" s="14" t="s">
        <v>117</v>
      </c>
      <c r="C86" s="4" t="s">
        <v>171</v>
      </c>
      <c r="D86" s="4" t="s">
        <v>71</v>
      </c>
      <c r="E86" s="14" t="s">
        <v>122</v>
      </c>
      <c r="F86" s="5">
        <v>1</v>
      </c>
      <c r="G86" s="4" t="s">
        <v>515</v>
      </c>
      <c r="H86" s="4" t="s">
        <v>73</v>
      </c>
    </row>
    <row r="87" spans="1:8">
      <c r="A87" s="4" t="s">
        <v>214</v>
      </c>
      <c r="B87" s="14" t="s">
        <v>192</v>
      </c>
      <c r="C87" s="4" t="s">
        <v>173</v>
      </c>
      <c r="D87" s="4" t="s">
        <v>71</v>
      </c>
      <c r="E87" s="14" t="s">
        <v>193</v>
      </c>
      <c r="F87" s="5">
        <v>1</v>
      </c>
      <c r="G87" s="4" t="s">
        <v>515</v>
      </c>
      <c r="H87" s="4" t="s">
        <v>73</v>
      </c>
    </row>
    <row r="88" spans="1:8">
      <c r="A88" s="4" t="s">
        <v>172</v>
      </c>
      <c r="B88" s="14" t="s">
        <v>117</v>
      </c>
      <c r="C88" s="4" t="s">
        <v>173</v>
      </c>
      <c r="D88" s="4" t="s">
        <v>71</v>
      </c>
      <c r="E88" s="14" t="s">
        <v>122</v>
      </c>
      <c r="F88" s="5">
        <v>1</v>
      </c>
      <c r="G88" s="4" t="s">
        <v>515</v>
      </c>
      <c r="H88" s="4" t="s">
        <v>73</v>
      </c>
    </row>
    <row r="89" spans="1:8">
      <c r="A89" s="4" t="s">
        <v>174</v>
      </c>
      <c r="B89" s="14" t="s">
        <v>117</v>
      </c>
      <c r="C89" s="4" t="s">
        <v>175</v>
      </c>
      <c r="D89" s="4" t="s">
        <v>71</v>
      </c>
      <c r="E89" s="14" t="s">
        <v>122</v>
      </c>
      <c r="F89" s="5">
        <v>1</v>
      </c>
      <c r="G89" s="4" t="s">
        <v>515</v>
      </c>
      <c r="H89" s="4" t="s">
        <v>73</v>
      </c>
    </row>
    <row r="90" spans="1:8">
      <c r="A90" s="4" t="s">
        <v>211</v>
      </c>
      <c r="B90" s="14" t="s">
        <v>192</v>
      </c>
      <c r="C90" s="4" t="s">
        <v>178</v>
      </c>
      <c r="D90" s="4" t="s">
        <v>71</v>
      </c>
      <c r="E90" s="14" t="s">
        <v>193</v>
      </c>
      <c r="F90" s="5">
        <v>1</v>
      </c>
      <c r="G90" s="4" t="s">
        <v>515</v>
      </c>
      <c r="H90" s="4" t="s">
        <v>73</v>
      </c>
    </row>
    <row r="91" spans="1:8">
      <c r="A91" s="4" t="s">
        <v>177</v>
      </c>
      <c r="B91" s="14" t="s">
        <v>117</v>
      </c>
      <c r="C91" s="4" t="s">
        <v>178</v>
      </c>
      <c r="D91" s="4" t="s">
        <v>71</v>
      </c>
      <c r="E91" s="14" t="s">
        <v>122</v>
      </c>
      <c r="F91" s="5">
        <v>1</v>
      </c>
      <c r="G91" s="4" t="s">
        <v>515</v>
      </c>
      <c r="H91" s="4" t="s">
        <v>73</v>
      </c>
    </row>
    <row r="92" spans="1:8">
      <c r="A92" s="4" t="s">
        <v>179</v>
      </c>
      <c r="B92" s="14" t="s">
        <v>117</v>
      </c>
      <c r="C92" s="4" t="s">
        <v>180</v>
      </c>
      <c r="D92" s="4" t="s">
        <v>71</v>
      </c>
      <c r="E92" s="14" t="s">
        <v>122</v>
      </c>
      <c r="F92" s="5">
        <v>1</v>
      </c>
      <c r="G92" s="4" t="s">
        <v>515</v>
      </c>
      <c r="H92" s="4" t="s">
        <v>73</v>
      </c>
    </row>
    <row r="93" spans="1:8">
      <c r="A93" s="4" t="s">
        <v>181</v>
      </c>
      <c r="B93" s="14" t="s">
        <v>117</v>
      </c>
      <c r="C93" s="4" t="s">
        <v>182</v>
      </c>
      <c r="D93" s="4" t="s">
        <v>71</v>
      </c>
      <c r="E93" s="14" t="s">
        <v>122</v>
      </c>
      <c r="F93" s="5">
        <v>1</v>
      </c>
      <c r="G93" s="4" t="s">
        <v>515</v>
      </c>
      <c r="H93" s="4" t="s">
        <v>73</v>
      </c>
    </row>
    <row r="94" spans="1:8">
      <c r="A94" s="4" t="s">
        <v>203</v>
      </c>
      <c r="B94" s="14" t="s">
        <v>192</v>
      </c>
      <c r="C94" s="4" t="s">
        <v>185</v>
      </c>
      <c r="D94" s="4" t="s">
        <v>71</v>
      </c>
      <c r="E94" s="14" t="s">
        <v>193</v>
      </c>
      <c r="F94" s="5">
        <v>1</v>
      </c>
      <c r="G94" s="4" t="s">
        <v>515</v>
      </c>
      <c r="H94" s="4" t="s">
        <v>73</v>
      </c>
    </row>
    <row r="95" spans="1:8">
      <c r="A95" s="4" t="s">
        <v>184</v>
      </c>
      <c r="B95" s="14" t="s">
        <v>117</v>
      </c>
      <c r="C95" s="4" t="s">
        <v>185</v>
      </c>
      <c r="D95" s="4" t="s">
        <v>71</v>
      </c>
      <c r="E95" s="14" t="s">
        <v>122</v>
      </c>
      <c r="F95" s="5">
        <v>1</v>
      </c>
      <c r="G95" s="4" t="s">
        <v>515</v>
      </c>
      <c r="H95" s="4" t="s">
        <v>73</v>
      </c>
    </row>
    <row r="96" spans="1:8">
      <c r="A96" s="4" t="s">
        <v>212</v>
      </c>
      <c r="B96" s="14" t="s">
        <v>192</v>
      </c>
      <c r="C96" s="4" t="s">
        <v>187</v>
      </c>
      <c r="D96" s="4" t="s">
        <v>71</v>
      </c>
      <c r="E96" s="14" t="s">
        <v>193</v>
      </c>
      <c r="F96" s="5">
        <v>1</v>
      </c>
      <c r="G96" s="4" t="s">
        <v>515</v>
      </c>
      <c r="H96" s="4" t="s">
        <v>73</v>
      </c>
    </row>
    <row r="97" spans="1:8">
      <c r="A97" s="4" t="s">
        <v>186</v>
      </c>
      <c r="B97" s="14" t="s">
        <v>117</v>
      </c>
      <c r="C97" s="4" t="s">
        <v>187</v>
      </c>
      <c r="D97" s="4" t="s">
        <v>71</v>
      </c>
      <c r="E97" s="14" t="s">
        <v>122</v>
      </c>
      <c r="F97" s="5">
        <v>1</v>
      </c>
      <c r="G97" s="4" t="s">
        <v>515</v>
      </c>
      <c r="H97" s="4" t="s">
        <v>73</v>
      </c>
    </row>
    <row r="98" spans="1:8">
      <c r="A98" s="4" t="s">
        <v>188</v>
      </c>
      <c r="B98" s="14" t="s">
        <v>117</v>
      </c>
      <c r="C98" s="4" t="s">
        <v>189</v>
      </c>
      <c r="D98" s="4" t="s">
        <v>71</v>
      </c>
      <c r="E98" s="14" t="s">
        <v>122</v>
      </c>
      <c r="F98" s="5">
        <v>1</v>
      </c>
      <c r="G98" s="4" t="s">
        <v>515</v>
      </c>
      <c r="H98" s="4" t="s">
        <v>73</v>
      </c>
    </row>
    <row r="100" spans="1:8">
      <c r="A100" s="6" t="s">
        <v>530</v>
      </c>
    </row>
    <row r="101" spans="1:8">
      <c r="A101" s="4" t="s">
        <v>119</v>
      </c>
      <c r="B101" s="9" t="s">
        <v>531</v>
      </c>
    </row>
    <row r="102" spans="1:8">
      <c r="A102" s="4" t="s">
        <v>113</v>
      </c>
      <c r="B102" s="9" t="s">
        <v>532</v>
      </c>
    </row>
    <row r="103" spans="1:8">
      <c r="A103" s="4" t="s">
        <v>533</v>
      </c>
      <c r="B103" s="9" t="s">
        <v>534</v>
      </c>
    </row>
    <row r="104" spans="1:8">
      <c r="A104" s="4" t="s">
        <v>535</v>
      </c>
      <c r="B104" s="9" t="s">
        <v>536</v>
      </c>
    </row>
    <row r="105" spans="1:8">
      <c r="A105" s="4" t="s">
        <v>201</v>
      </c>
      <c r="B105" s="9" t="s">
        <v>537</v>
      </c>
    </row>
    <row r="106" spans="1:8">
      <c r="A106" s="4" t="s">
        <v>538</v>
      </c>
      <c r="B106" s="9" t="s">
        <v>539</v>
      </c>
    </row>
    <row r="108" spans="1:8">
      <c r="A108" s="6" t="s">
        <v>540</v>
      </c>
    </row>
    <row r="109" spans="1:8">
      <c r="A109" s="7" t="s">
        <v>541</v>
      </c>
      <c r="B109" s="7"/>
      <c r="C109" s="7"/>
      <c r="D109" s="7"/>
      <c r="E109" s="7"/>
      <c r="F109" s="7"/>
      <c r="G109" s="7"/>
      <c r="H109" s="7"/>
    </row>
    <row r="110" spans="1:8">
      <c r="A110" s="7"/>
      <c r="B110" s="7"/>
      <c r="C110" s="7"/>
      <c r="D110" s="7"/>
      <c r="E110" s="7"/>
      <c r="F110" s="7"/>
      <c r="G110" s="7"/>
      <c r="H110" s="7"/>
    </row>
    <row r="111" spans="1:8">
      <c r="A111" s="7"/>
      <c r="B111" s="7"/>
      <c r="C111" s="7"/>
      <c r="D111" s="7"/>
      <c r="E111" s="7"/>
      <c r="F111" s="7"/>
      <c r="G111" s="7"/>
      <c r="H111" s="7"/>
    </row>
  </sheetData>
  <mergeCells count="1">
    <mergeCell ref="A109:H111"/>
  </mergeCells>
  <pageMargins left="0.5" right="0.5" top="0.6" bottom="0.6" header="0.3" footer="0.3"/>
  <pageSetup paperSize="9" fitToHeight="0" orientation="landscape"/>
  <headerFooter>
    <oddFooter>&amp;L&amp;A&amp;C&amp;D&amp;R Page &amp;P of &amp;N</oddFooter>
  </headerFooter>
</worksheet>
</file>

<file path=xl/worksheets/sheet5.xml><?xml version="1.0" encoding="utf-8"?>
<worksheet xmlns="http://schemas.openxmlformats.org/spreadsheetml/2006/main" xmlns:r="http://schemas.openxmlformats.org/officeDocument/2006/relationships">
  <sheetPr>
    <tabColor rgb="FF2E6DB4"/>
    <pageSetUpPr fitToPage="1"/>
  </sheetPr>
  <dimension ref="A1:D25"/>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46.7109375" customWidth="1"/>
    <col min="2" max="2" width="14.7109375" customWidth="1"/>
    <col min="3" max="3" width="8.7109375" customWidth="1"/>
    <col min="4" max="4" width="62.7109375" customWidth="1"/>
  </cols>
  <sheetData>
    <row r="1" spans="1:4">
      <c r="A1" s="1" t="s">
        <v>542</v>
      </c>
    </row>
    <row r="2" spans="1:4">
      <c r="A2" s="2" t="s">
        <v>543</v>
      </c>
    </row>
    <row r="4" spans="1:4" ht="22" customHeight="1">
      <c r="A4" s="13" t="s">
        <v>544</v>
      </c>
      <c r="B4" s="13" t="s">
        <v>545</v>
      </c>
      <c r="C4" s="13" t="s">
        <v>62</v>
      </c>
      <c r="D4" s="13" t="s">
        <v>546</v>
      </c>
    </row>
    <row r="5" spans="1:4">
      <c r="A5" s="14" t="s">
        <v>547</v>
      </c>
      <c r="B5" s="19">
        <f>SUMIFS('02_MASTER'!$F$2:$F$137,'02_MASTER'!$B$2:$B$137,"DK.FIN.BRCH",'02_MASTER'!$E$2:$E$137,2004)</f>
        <v>2025</v>
      </c>
      <c r="C5" s="4" t="s">
        <v>102</v>
      </c>
      <c r="D5" s="14" t="s">
        <v>548</v>
      </c>
    </row>
    <row r="6" spans="1:4">
      <c r="A6" s="14" t="s">
        <v>549</v>
      </c>
      <c r="B6" s="19">
        <f>SUMIFS('02_MASTER'!$F$2:$F$137,'02_MASTER'!$B$2:$B$137,"DK.FIN.BRCH",'02_MASTER'!$E$2:$E$137,2024)</f>
        <v>665</v>
      </c>
      <c r="C6" s="4" t="s">
        <v>102</v>
      </c>
      <c r="D6" s="14" t="s">
        <v>548</v>
      </c>
    </row>
    <row r="7" spans="1:4">
      <c r="A7" s="14" t="s">
        <v>550</v>
      </c>
      <c r="B7" s="20">
        <f>(SUMIFS('02_MASTER'!$F$2:$F$137,'02_MASTER'!$B$2:$B$137,"DK.FIN.BRCH",'02_MASTER'!$E$2:$E$137,2024)/SUMIFS('02_MASTER'!$F$2:$F$137,'02_MASTER'!$B$2:$B$137,"DK.FIN.BRCH",'02_MASTER'!$E$2:$E$137,2004)-1)*100</f>
        <v>-67.1604938271605</v>
      </c>
      <c r="C7" s="4" t="s">
        <v>71</v>
      </c>
      <c r="D7" s="14" t="s">
        <v>551</v>
      </c>
    </row>
    <row r="8" spans="1:4">
      <c r="A8" s="14" t="s">
        <v>552</v>
      </c>
      <c r="B8" s="20">
        <f>SUMIFS('02_MASTER'!$F$2:$F$137,'02_MASTER'!$B$2:$B$137,"DK.PAY.CASH.POS",'02_MASTER'!$E$2:$E$137,2017)</f>
        <v>23.0</v>
      </c>
      <c r="C8" s="4" t="s">
        <v>71</v>
      </c>
      <c r="D8" s="14" t="s">
        <v>548</v>
      </c>
    </row>
    <row r="9" spans="1:4">
      <c r="A9" s="14" t="s">
        <v>553</v>
      </c>
      <c r="B9" s="20">
        <f>SUMIFS('02_MASTER'!$F$2:$F$137,'02_MASTER'!$B$2:$B$137,"DK.PAY.CASH.POS",'02_MASTER'!$E$2:$E$137,2025)</f>
        <v>9.0</v>
      </c>
      <c r="C9" s="4" t="s">
        <v>71</v>
      </c>
      <c r="D9" s="14" t="s">
        <v>548</v>
      </c>
    </row>
    <row r="10" spans="1:4">
      <c r="A10" s="14" t="s">
        <v>554</v>
      </c>
      <c r="B10" s="20">
        <f>SUMIFS('02_MASTER'!$F$2:$F$137,'02_MASTER'!$B$2:$B$137,"DK.PAY.CASH.POS",'02_MASTER'!$E$2:$E$137,2025)-SUMIFS('02_MASTER'!$F$2:$F$137,'02_MASTER'!$B$2:$B$137,"DK.PAY.CASH.POS",'02_MASTER'!$E$2:$E$137,2017)</f>
        <v>-14.0</v>
      </c>
      <c r="C10" s="4" t="s">
        <v>555</v>
      </c>
      <c r="D10" s="14" t="s">
        <v>556</v>
      </c>
    </row>
    <row r="11" spans="1:4">
      <c r="A11" s="14" t="s">
        <v>557</v>
      </c>
      <c r="B11" s="20">
        <f>(SUMIFS('02_MASTER'!$F$2:$F$137,'02_MASTER'!$B$2:$B$137,"DK.PAY.CASH.POS",'02_MASTER'!$E$2:$E$137,2025)/SUMIFS('02_MASTER'!$F$2:$F$137,'02_MASTER'!$B$2:$B$137,"DK.PAY.CASH.POS",'02_MASTER'!$E$2:$E$137,2017)-1)*100</f>
        <v>-60.86956521739131</v>
      </c>
      <c r="C11" s="4" t="s">
        <v>71</v>
      </c>
      <c r="D11" s="14" t="s">
        <v>558</v>
      </c>
    </row>
    <row r="12" spans="1:4">
      <c r="A12" s="14" t="s">
        <v>559</v>
      </c>
      <c r="B12" s="20">
        <f>SUMIFS('02_MASTER'!$F$2:$F$137,'02_MASTER'!$B$2:$B$137,"DK.ECM.ENT.TRN",'02_MASTER'!$E$2:$E$137,2024)-SUMIFS('02_MASTER'!$F$2:$F$137,'02_MASTER'!$B$2:$B$137,"DK.ECM.ENT.TRN",'02_MASTER'!$E$2:$E$137,2014)</f>
        <v>16.26</v>
      </c>
      <c r="C12" s="4" t="s">
        <v>555</v>
      </c>
      <c r="D12" s="14" t="s">
        <v>560</v>
      </c>
    </row>
    <row r="13" spans="1:4">
      <c r="A13" s="14" t="s">
        <v>561</v>
      </c>
      <c r="B13" s="20">
        <f>SUMIFS('02_MASTER'!$F$2:$F$137,'02_MASTER'!$B$2:$B$137,"EU.ECM.ENT.TRN",'02_MASTER'!$E$2:$E$137,2024)-SUMIFS('02_MASTER'!$F$2:$F$137,'02_MASTER'!$B$2:$B$137,"EU.ECM.ENT.TRN",'02_MASTER'!$E$2:$E$137,2014)</f>
        <v>3.0599999999999987</v>
      </c>
      <c r="C13" s="4" t="s">
        <v>555</v>
      </c>
      <c r="D13" s="14" t="s">
        <v>562</v>
      </c>
    </row>
    <row r="14" spans="1:4">
      <c r="A14" s="14" t="s">
        <v>563</v>
      </c>
      <c r="B14" s="20">
        <f>SUMIFS('02_MASTER'!$F$2:$F$137,'02_MASTER'!$B$2:$B$137,"DK.ECM.ENT.TRN",'02_MASTER'!$E$2:$E$137,2024)-SUMIFS('02_MASTER'!$F$2:$F$137,'02_MASTER'!$B$2:$B$137,"EU.ECM.ENT.TRN",'02_MASTER'!$E$2:$E$137,2024)</f>
        <v>13.820000000000004</v>
      </c>
      <c r="C14" s="4" t="s">
        <v>555</v>
      </c>
      <c r="D14" s="14" t="s">
        <v>564</v>
      </c>
    </row>
    <row r="15" spans="1:4">
      <c r="A15" s="14" t="s">
        <v>565</v>
      </c>
      <c r="B15" s="20">
        <f>SUMIFS('02_MASTER'!$F$2:$F$137,'02_MASTER'!$B$2:$B$137,"DK.DGP.EXMP",'02_MASTER'!$E$2:$E$137,2026)</f>
        <v>4.7</v>
      </c>
      <c r="C15" s="4" t="s">
        <v>71</v>
      </c>
      <c r="D15" s="14" t="s">
        <v>548</v>
      </c>
    </row>
    <row r="16" spans="1:4">
      <c r="A16" s="14" t="s">
        <v>566</v>
      </c>
      <c r="B16" s="20">
        <f>SUMIFS('02_MASTER'!$F$2:$F$137,'02_MASTER'!$B$2:$B$137,"DK.DGX.DIFF",'02_MASTER'!$E$2:$E$137,2026)</f>
        <v>16.5</v>
      </c>
      <c r="C16" s="4" t="s">
        <v>71</v>
      </c>
      <c r="D16" s="14" t="s">
        <v>548</v>
      </c>
    </row>
    <row r="17" spans="1:4">
      <c r="A17" s="14" t="s">
        <v>567</v>
      </c>
      <c r="B17" s="20">
        <f>SUMIFS('02_MASTER'!$F$2:$F$137,'02_MASTER'!$B$2:$B$137,"DK.DGX.DIFF",'02_MASTER'!$E$2:$E$137,2026)/SUMIFS('02_MASTER'!$F$2:$F$137,'02_MASTER'!$B$2:$B$137,"DK.DGP.EXMP",'02_MASTER'!$E$2:$E$137,2026)</f>
        <v>3.5106382978723403</v>
      </c>
      <c r="C17" s="4" t="s">
        <v>568</v>
      </c>
      <c r="D17" s="14" t="s">
        <v>569</v>
      </c>
    </row>
    <row r="18" spans="1:4">
      <c r="A18" s="14" t="s">
        <v>570</v>
      </c>
      <c r="B18" s="20">
        <f>SUMIFS('02_MASTER'!$F$2:$F$137,'02_MASTER'!$B$2:$B$137,"DK.DGX.DIFF",'02_MASTER'!$E$2:$E$137,2026)-SUMIFS('02_MASTER'!$F$2:$F$137,'02_MASTER'!$B$2:$B$137,"DK.DGP.EXMP",'02_MASTER'!$E$2:$E$137,2026)</f>
        <v>11.8</v>
      </c>
      <c r="C18" s="4" t="s">
        <v>555</v>
      </c>
      <c r="D18" s="14" t="s">
        <v>571</v>
      </c>
    </row>
    <row r="19" spans="1:4">
      <c r="A19" s="14" t="s">
        <v>572</v>
      </c>
      <c r="B19" s="19">
        <f>SUMIFS('02_MASTER'!$F$2:$F$137,'02_MASTER'!$B$2:$B$137,"DK.POP.TOT",'02_MASTER'!$E$2:$E$137,2026)</f>
        <v>6025603</v>
      </c>
      <c r="C19" s="4" t="s">
        <v>102</v>
      </c>
      <c r="D19" s="14" t="s">
        <v>548</v>
      </c>
    </row>
    <row r="20" spans="1:4">
      <c r="A20" s="14" t="s">
        <v>573</v>
      </c>
      <c r="B20" s="19">
        <f>SUMIFS('02_MASTER'!$F$2:$F$137,'02_MASTER'!$B$2:$B$137,"DK.DGP.EXMP.N",'02_MASTER'!$E$2:$E$137,2026)</f>
        <v>238479</v>
      </c>
      <c r="C20" s="4" t="s">
        <v>102</v>
      </c>
      <c r="D20" s="14" t="s">
        <v>548</v>
      </c>
    </row>
    <row r="21" spans="1:4">
      <c r="A21" s="14" t="s">
        <v>574</v>
      </c>
      <c r="B21" s="19">
        <f>SUMIFS('02_MASTER'!$F$2:$F$137,'02_MASTER'!$B$2:$B$137,"DK.DGP.EXMP.N",'02_MASTER'!$E$2:$E$137,2026)-SUMIFS('02_MASTER'!$F$2:$F$137,'02_MASTER'!$B$2:$B$137,"DK.DGP.EXMP.N",'02_MASTER'!$E$2:$E$137,2025)</f>
        <v>-17521</v>
      </c>
      <c r="C21" s="4" t="s">
        <v>102</v>
      </c>
      <c r="D21" s="14" t="s">
        <v>575</v>
      </c>
    </row>
    <row r="22" spans="1:4">
      <c r="A22" s="14" t="s">
        <v>576</v>
      </c>
      <c r="B22" s="20">
        <f>SUMIFS('02_MASTER'!$F$2:$F$137,'02_MASTER'!$B$2:$B$137,"DK.SKL.1624",'02_MASTER'!$E$2:$E$137,2025)-SUMIFS('02_MASTER'!$F$2:$F$137,'02_MASTER'!$B$2:$B$137,"DK.SKL.5574",'02_MASTER'!$E$2:$E$137,2025)</f>
        <v>24.25</v>
      </c>
      <c r="C22" s="4" t="s">
        <v>555</v>
      </c>
      <c r="D22" s="14" t="s">
        <v>577</v>
      </c>
    </row>
    <row r="23" spans="1:4">
      <c r="A23" s="14" t="s">
        <v>578</v>
      </c>
      <c r="B23" s="20">
        <f>SUMIFS('02_MASTER'!$F$2:$F$137,'02_MASTER'!$B$2:$B$137,"DK.ENT.AI.LRG",'02_MASTER'!$E$2:$E$137,2025)-SUMIFS('02_MASTER'!$F$2:$F$137,'02_MASTER'!$B$2:$B$137,"DK.ENT.AI.SME",'02_MASTER'!$E$2:$E$137,2025)</f>
        <v>33.529999999999994</v>
      </c>
      <c r="C23" s="4" t="s">
        <v>555</v>
      </c>
      <c r="D23" s="14" t="s">
        <v>579</v>
      </c>
    </row>
    <row r="24" spans="1:4">
      <c r="A24" s="14" t="s">
        <v>580</v>
      </c>
      <c r="B24" s="20">
        <f>SUMIFS('02_MASTER'!$F$2:$F$137,'02_MASTER'!$B$2:$B$137,"DK.ENV.WEEE",'02_MASTER'!$E$2:$E$137,2023)-SUMIFS('02_MASTER'!$F$2:$F$137,'02_MASTER'!$B$2:$B$137,"EU.ENV.WEEE",'02_MASTER'!$E$2:$E$137,2023)</f>
        <v>-64.86</v>
      </c>
      <c r="C24" s="4" t="s">
        <v>555</v>
      </c>
      <c r="D24" s="14" t="s">
        <v>581</v>
      </c>
    </row>
    <row r="25" spans="1:4">
      <c r="A25" s="14" t="s">
        <v>582</v>
      </c>
      <c r="B25" s="20">
        <f>SUMIFS('02_MASTER'!$F$2:$F$137,'02_MASTER'!$B$2:$B$137,"DK.DGX.EGOV.USE",'02_MASTER'!$E$2:$E$137,2024)-SUMIFS('02_MASTER'!$F$2:$F$137,'02_MASTER'!$B$2:$B$137,"EU.DGX.EGOV.USE",'02_MASTER'!$E$2:$E$137,2024)</f>
        <v>28.5</v>
      </c>
      <c r="C25" s="4" t="s">
        <v>555</v>
      </c>
      <c r="D25" s="14" t="s">
        <v>583</v>
      </c>
    </row>
  </sheetData>
  <pageMargins left="0.5" right="0.5" top="0.6" bottom="0.6" header="0.3" footer="0.3"/>
  <pageSetup paperSize="9" fitToHeight="0" orientation="landscape"/>
  <headerFooter>
    <oddFooter>&amp;L&amp;A&amp;C&amp;D&amp;R Page &amp;P of &amp;N</oddFooter>
  </headerFooter>
</worksheet>
</file>

<file path=xl/worksheets/sheet6.xml><?xml version="1.0" encoding="utf-8"?>
<worksheet xmlns="http://schemas.openxmlformats.org/spreadsheetml/2006/main" xmlns:r="http://schemas.openxmlformats.org/officeDocument/2006/relationships">
  <sheetPr>
    <tabColor rgb="FF7A7A7A"/>
    <pageSetUpPr fitToPage="1"/>
  </sheetPr>
  <dimension ref="A1:J41"/>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1.7109375" customWidth="1"/>
    <col min="2" max="2" width="44.7109375" customWidth="1"/>
    <col min="3" max="3" width="6.7109375" customWidth="1"/>
    <col min="4" max="4" width="7.7109375" customWidth="1"/>
    <col min="5" max="5" width="12.7109375" customWidth="1"/>
    <col min="6" max="6" width="9.7109375" customWidth="1"/>
    <col min="7" max="7" width="34.7109375" customWidth="1"/>
    <col min="8" max="8" width="6.7109375" customWidth="1"/>
    <col min="9" max="9" width="9.7109375" customWidth="1"/>
    <col min="10" max="10" width="26.7109375" customWidth="1"/>
  </cols>
  <sheetData>
    <row r="1" spans="1:10">
      <c r="A1" s="1" t="s">
        <v>584</v>
      </c>
    </row>
    <row r="2" spans="1:10">
      <c r="A2" s="2" t="s">
        <v>585</v>
      </c>
    </row>
    <row r="4" spans="1:10" ht="22" customHeight="1">
      <c r="A4" s="13" t="s">
        <v>57</v>
      </c>
      <c r="B4" s="13" t="s">
        <v>58</v>
      </c>
      <c r="C4" s="13" t="s">
        <v>59</v>
      </c>
      <c r="D4" s="13" t="s">
        <v>60</v>
      </c>
      <c r="E4" s="13" t="s">
        <v>61</v>
      </c>
      <c r="F4" s="13" t="s">
        <v>62</v>
      </c>
      <c r="G4" s="13" t="s">
        <v>63</v>
      </c>
      <c r="H4" s="13" t="s">
        <v>64</v>
      </c>
      <c r="I4" s="13" t="s">
        <v>586</v>
      </c>
      <c r="J4" s="13" t="s">
        <v>514</v>
      </c>
    </row>
    <row r="5" spans="1:10">
      <c r="A5" s="4" t="s">
        <v>100</v>
      </c>
      <c r="B5" s="14" t="s">
        <v>101</v>
      </c>
      <c r="C5" s="4" t="s">
        <v>70</v>
      </c>
      <c r="D5" s="15">
        <v>2004</v>
      </c>
      <c r="E5" s="19">
        <f>SUMIFS('02_MASTER'!$F$2:$F$137,'02_MASTER'!$B$2:$B$137,"DK.FIN.BRCH",'02_MASTER'!$E$2:$E$137,2004)</f>
        <v>2025</v>
      </c>
      <c r="F5" s="4" t="s">
        <v>102</v>
      </c>
      <c r="G5" s="14" t="s">
        <v>103</v>
      </c>
      <c r="H5" s="4" t="s">
        <v>73</v>
      </c>
      <c r="I5" s="4" t="s">
        <v>104</v>
      </c>
      <c r="J5" s="4" t="s">
        <v>105</v>
      </c>
    </row>
    <row r="6" spans="1:10">
      <c r="A6" s="4" t="s">
        <v>100</v>
      </c>
      <c r="B6" s="14" t="s">
        <v>101</v>
      </c>
      <c r="C6" s="4" t="s">
        <v>70</v>
      </c>
      <c r="D6" s="15">
        <v>2006</v>
      </c>
      <c r="E6" s="19">
        <f>SUMIFS('02_MASTER'!$F$2:$F$137,'02_MASTER'!$B$2:$B$137,"DK.FIN.BRCH",'02_MASTER'!$E$2:$E$137,2006)</f>
        <v>1975</v>
      </c>
      <c r="F6" s="4" t="s">
        <v>102</v>
      </c>
      <c r="G6" s="14" t="s">
        <v>103</v>
      </c>
      <c r="H6" s="4" t="s">
        <v>73</v>
      </c>
      <c r="I6" s="4" t="s">
        <v>104</v>
      </c>
      <c r="J6" s="4" t="s">
        <v>105</v>
      </c>
    </row>
    <row r="7" spans="1:10">
      <c r="A7" s="4" t="s">
        <v>100</v>
      </c>
      <c r="B7" s="14" t="s">
        <v>101</v>
      </c>
      <c r="C7" s="4" t="s">
        <v>70</v>
      </c>
      <c r="D7" s="15">
        <v>2010</v>
      </c>
      <c r="E7" s="19">
        <f>SUMIFS('02_MASTER'!$F$2:$F$137,'02_MASTER'!$B$2:$B$137,"DK.FIN.BRCH",'02_MASTER'!$E$2:$E$137,2010)</f>
        <v>1598</v>
      </c>
      <c r="F7" s="4" t="s">
        <v>102</v>
      </c>
      <c r="G7" s="14" t="s">
        <v>103</v>
      </c>
      <c r="H7" s="4" t="s">
        <v>73</v>
      </c>
      <c r="I7" s="4" t="s">
        <v>104</v>
      </c>
      <c r="J7" s="4" t="s">
        <v>105</v>
      </c>
    </row>
    <row r="8" spans="1:10">
      <c r="A8" s="4" t="s">
        <v>100</v>
      </c>
      <c r="B8" s="14" t="s">
        <v>101</v>
      </c>
      <c r="C8" s="4" t="s">
        <v>70</v>
      </c>
      <c r="D8" s="15">
        <v>2016</v>
      </c>
      <c r="E8" s="19">
        <f>SUMIFS('02_MASTER'!$F$2:$F$137,'02_MASTER'!$B$2:$B$137,"DK.FIN.BRCH",'02_MASTER'!$E$2:$E$137,2016)</f>
        <v>948</v>
      </c>
      <c r="F8" s="4" t="s">
        <v>102</v>
      </c>
      <c r="G8" s="14" t="s">
        <v>103</v>
      </c>
      <c r="H8" s="4" t="s">
        <v>73</v>
      </c>
      <c r="I8" s="4" t="s">
        <v>104</v>
      </c>
      <c r="J8" s="4" t="s">
        <v>105</v>
      </c>
    </row>
    <row r="9" spans="1:10">
      <c r="A9" s="4" t="s">
        <v>100</v>
      </c>
      <c r="B9" s="14" t="s">
        <v>101</v>
      </c>
      <c r="C9" s="4" t="s">
        <v>70</v>
      </c>
      <c r="D9" s="15">
        <v>2021</v>
      </c>
      <c r="E9" s="19">
        <f>SUMIFS('02_MASTER'!$F$2:$F$137,'02_MASTER'!$B$2:$B$137,"DK.FIN.BRCH",'02_MASTER'!$E$2:$E$137,2021)</f>
        <v>701</v>
      </c>
      <c r="F9" s="4" t="s">
        <v>102</v>
      </c>
      <c r="G9" s="14" t="s">
        <v>103</v>
      </c>
      <c r="H9" s="4" t="s">
        <v>73</v>
      </c>
      <c r="I9" s="4" t="s">
        <v>104</v>
      </c>
      <c r="J9" s="4" t="s">
        <v>105</v>
      </c>
    </row>
    <row r="10" spans="1:10">
      <c r="A10" s="4" t="s">
        <v>100</v>
      </c>
      <c r="B10" s="14" t="s">
        <v>101</v>
      </c>
      <c r="C10" s="4" t="s">
        <v>70</v>
      </c>
      <c r="D10" s="15">
        <v>2024</v>
      </c>
      <c r="E10" s="19">
        <f>SUMIFS('02_MASTER'!$F$2:$F$137,'02_MASTER'!$B$2:$B$137,"DK.FIN.BRCH",'02_MASTER'!$E$2:$E$137,2024)</f>
        <v>665</v>
      </c>
      <c r="F10" s="4" t="s">
        <v>102</v>
      </c>
      <c r="G10" s="14" t="s">
        <v>103</v>
      </c>
      <c r="H10" s="4" t="s">
        <v>73</v>
      </c>
      <c r="I10" s="4" t="s">
        <v>104</v>
      </c>
      <c r="J10" s="4" t="s">
        <v>105</v>
      </c>
    </row>
    <row r="11" spans="1:10">
      <c r="A11" s="4" t="s">
        <v>106</v>
      </c>
      <c r="B11" s="14" t="s">
        <v>107</v>
      </c>
      <c r="C11" s="4" t="s">
        <v>70</v>
      </c>
      <c r="D11" s="15">
        <v>1991</v>
      </c>
      <c r="E11" s="19">
        <f>SUMIFS('02_MASTER'!$F$2:$F$137,'02_MASTER'!$B$2:$B$137,"DK.FIN.INST",'02_MASTER'!$E$2:$E$137,1991)</f>
        <v>219</v>
      </c>
      <c r="F11" s="4" t="s">
        <v>102</v>
      </c>
      <c r="G11" s="14" t="s">
        <v>108</v>
      </c>
      <c r="H11" s="4" t="s">
        <v>73</v>
      </c>
      <c r="I11" s="4" t="s">
        <v>104</v>
      </c>
      <c r="J11" s="4" t="s">
        <v>109</v>
      </c>
    </row>
    <row r="12" spans="1:10">
      <c r="A12" s="4" t="s">
        <v>106</v>
      </c>
      <c r="B12" s="14" t="s">
        <v>107</v>
      </c>
      <c r="C12" s="4" t="s">
        <v>70</v>
      </c>
      <c r="D12" s="15">
        <v>2024</v>
      </c>
      <c r="E12" s="19">
        <f>SUMIFS('02_MASTER'!$F$2:$F$137,'02_MASTER'!$B$2:$B$137,"DK.FIN.INST",'02_MASTER'!$E$2:$E$137,2024)</f>
        <v>51</v>
      </c>
      <c r="F12" s="4" t="s">
        <v>102</v>
      </c>
      <c r="G12" s="14" t="s">
        <v>108</v>
      </c>
      <c r="H12" s="4" t="s">
        <v>73</v>
      </c>
      <c r="I12" s="4" t="s">
        <v>104</v>
      </c>
      <c r="J12" s="4" t="s">
        <v>109</v>
      </c>
    </row>
    <row r="13" spans="1:10">
      <c r="A13" s="4" t="s">
        <v>110</v>
      </c>
      <c r="B13" s="14" t="s">
        <v>111</v>
      </c>
      <c r="C13" s="4" t="s">
        <v>70</v>
      </c>
      <c r="D13" s="15">
        <v>1991</v>
      </c>
      <c r="E13" s="17">
        <f>SUMIFS('02_MASTER'!$F$2:$F$137,'02_MASTER'!$B$2:$B$137,"DK.FIN.EMP",'02_MASTER'!$E$2:$E$137,1991)</f>
        <v>51000</v>
      </c>
      <c r="F13" s="4" t="s">
        <v>102</v>
      </c>
      <c r="G13" s="14" t="s">
        <v>112</v>
      </c>
      <c r="H13" s="4" t="s">
        <v>113</v>
      </c>
      <c r="I13" s="4" t="s">
        <v>104</v>
      </c>
      <c r="J13" s="4" t="s">
        <v>109</v>
      </c>
    </row>
    <row r="14" spans="1:10">
      <c r="A14" s="4" t="s">
        <v>110</v>
      </c>
      <c r="B14" s="14" t="s">
        <v>111</v>
      </c>
      <c r="C14" s="4" t="s">
        <v>70</v>
      </c>
      <c r="D14" s="15">
        <v>2024</v>
      </c>
      <c r="E14" s="17">
        <f>SUMIFS('02_MASTER'!$F$2:$F$137,'02_MASTER'!$B$2:$B$137,"DK.FIN.EMP",'02_MASTER'!$E$2:$E$137,2024)</f>
        <v>36000</v>
      </c>
      <c r="F14" s="4" t="s">
        <v>102</v>
      </c>
      <c r="G14" s="14" t="s">
        <v>112</v>
      </c>
      <c r="H14" s="4" t="s">
        <v>113</v>
      </c>
      <c r="I14" s="4" t="s">
        <v>104</v>
      </c>
      <c r="J14" s="4" t="s">
        <v>109</v>
      </c>
    </row>
    <row r="15" spans="1:10">
      <c r="A15" s="4" t="s">
        <v>191</v>
      </c>
      <c r="B15" s="14" t="s">
        <v>192</v>
      </c>
      <c r="C15" s="4" t="s">
        <v>70</v>
      </c>
      <c r="D15" s="15">
        <v>2014</v>
      </c>
      <c r="E15" s="20">
        <f>SUMIFS('02_MASTER'!$F$2:$F$137,'02_MASTER'!$B$2:$B$137,"DK.ECM.ENT.TRN",'02_MASTER'!$E$2:$E$137,2014)</f>
        <v>17.05</v>
      </c>
      <c r="F15" s="4" t="s">
        <v>71</v>
      </c>
      <c r="G15" s="14" t="s">
        <v>193</v>
      </c>
      <c r="H15" s="4" t="s">
        <v>73</v>
      </c>
      <c r="I15" s="4" t="s">
        <v>194</v>
      </c>
      <c r="J15" s="4" t="s">
        <v>195</v>
      </c>
    </row>
    <row r="16" spans="1:10">
      <c r="A16" s="4" t="s">
        <v>191</v>
      </c>
      <c r="B16" s="14" t="s">
        <v>192</v>
      </c>
      <c r="C16" s="4" t="s">
        <v>70</v>
      </c>
      <c r="D16" s="15">
        <v>2024</v>
      </c>
      <c r="E16" s="20">
        <f>SUMIFS('02_MASTER'!$F$2:$F$137,'02_MASTER'!$B$2:$B$137,"DK.ECM.ENT.TRN",'02_MASTER'!$E$2:$E$137,2024)</f>
        <v>33.31</v>
      </c>
      <c r="F16" s="4" t="s">
        <v>71</v>
      </c>
      <c r="G16" s="14" t="s">
        <v>193</v>
      </c>
      <c r="H16" s="4" t="s">
        <v>73</v>
      </c>
      <c r="I16" s="4" t="s">
        <v>194</v>
      </c>
      <c r="J16" s="4" t="s">
        <v>195</v>
      </c>
    </row>
    <row r="17" spans="1:10">
      <c r="A17" s="4" t="s">
        <v>197</v>
      </c>
      <c r="B17" s="14" t="s">
        <v>192</v>
      </c>
      <c r="C17" s="4" t="s">
        <v>78</v>
      </c>
      <c r="D17" s="15">
        <v>2014</v>
      </c>
      <c r="E17" s="20">
        <f>SUMIFS('02_MASTER'!$F$2:$F$137,'02_MASTER'!$B$2:$B$137,"EU.ECM.ENT.TRN",'02_MASTER'!$E$2:$E$137,2014)</f>
        <v>16.43</v>
      </c>
      <c r="F17" s="4" t="s">
        <v>71</v>
      </c>
      <c r="G17" s="14" t="s">
        <v>193</v>
      </c>
      <c r="H17" s="4" t="s">
        <v>73</v>
      </c>
      <c r="I17" s="4" t="s">
        <v>194</v>
      </c>
      <c r="J17" s="4" t="s">
        <v>195</v>
      </c>
    </row>
    <row r="18" spans="1:10">
      <c r="A18" s="4" t="s">
        <v>197</v>
      </c>
      <c r="B18" s="14" t="s">
        <v>192</v>
      </c>
      <c r="C18" s="4" t="s">
        <v>78</v>
      </c>
      <c r="D18" s="15">
        <v>2024</v>
      </c>
      <c r="E18" s="20">
        <f>SUMIFS('02_MASTER'!$F$2:$F$137,'02_MASTER'!$B$2:$B$137,"EU.ECM.ENT.TRN",'02_MASTER'!$E$2:$E$137,2024)</f>
        <v>19.49</v>
      </c>
      <c r="F18" s="4" t="s">
        <v>71</v>
      </c>
      <c r="G18" s="14" t="s">
        <v>193</v>
      </c>
      <c r="H18" s="4" t="s">
        <v>73</v>
      </c>
      <c r="I18" s="4" t="s">
        <v>194</v>
      </c>
      <c r="J18" s="4" t="s">
        <v>195</v>
      </c>
    </row>
    <row r="19" spans="1:10">
      <c r="A19" s="4" t="s">
        <v>282</v>
      </c>
      <c r="B19" s="14" t="s">
        <v>283</v>
      </c>
      <c r="C19" s="4" t="s">
        <v>70</v>
      </c>
      <c r="D19" s="15">
        <v>2025</v>
      </c>
      <c r="E19" s="20">
        <f>SUMIFS('02_MASTER'!$F$2:$F$137,'02_MASTER'!$B$2:$B$137,"DK.ENT.AI",'02_MASTER'!$E$2:$E$137,2025)</f>
        <v>42.03</v>
      </c>
      <c r="F19" s="4" t="s">
        <v>71</v>
      </c>
      <c r="G19" s="14" t="s">
        <v>220</v>
      </c>
      <c r="H19" s="4" t="s">
        <v>73</v>
      </c>
      <c r="I19" s="4" t="s">
        <v>240</v>
      </c>
      <c r="J19" s="4" t="s">
        <v>284</v>
      </c>
    </row>
    <row r="20" spans="1:10">
      <c r="A20" s="4" t="s">
        <v>286</v>
      </c>
      <c r="B20" s="14" t="s">
        <v>287</v>
      </c>
      <c r="C20" s="4" t="s">
        <v>70</v>
      </c>
      <c r="D20" s="15">
        <v>2025</v>
      </c>
      <c r="E20" s="20">
        <f>SUMIFS('02_MASTER'!$F$2:$F$137,'02_MASTER'!$B$2:$B$137,"DK.ENT.AI.LRG",'02_MASTER'!$E$2:$E$137,2025)</f>
        <v>74.52</v>
      </c>
      <c r="F20" s="4" t="s">
        <v>71</v>
      </c>
      <c r="G20" s="14" t="s">
        <v>288</v>
      </c>
      <c r="H20" s="4" t="s">
        <v>73</v>
      </c>
      <c r="I20" s="4" t="s">
        <v>240</v>
      </c>
      <c r="J20" s="4" t="s">
        <v>289</v>
      </c>
    </row>
    <row r="21" spans="1:10">
      <c r="A21" s="4" t="s">
        <v>290</v>
      </c>
      <c r="B21" s="14" t="s">
        <v>291</v>
      </c>
      <c r="C21" s="4" t="s">
        <v>70</v>
      </c>
      <c r="D21" s="15">
        <v>2025</v>
      </c>
      <c r="E21" s="20">
        <f>SUMIFS('02_MASTER'!$F$2:$F$137,'02_MASTER'!$B$2:$B$137,"DK.ENT.AI.SME",'02_MASTER'!$E$2:$E$137,2025)</f>
        <v>40.99</v>
      </c>
      <c r="F21" s="4" t="s">
        <v>71</v>
      </c>
      <c r="G21" s="14" t="s">
        <v>292</v>
      </c>
      <c r="H21" s="4" t="s">
        <v>73</v>
      </c>
      <c r="I21" s="4" t="s">
        <v>240</v>
      </c>
      <c r="J21" s="4" t="s">
        <v>289</v>
      </c>
    </row>
    <row r="22" spans="1:10">
      <c r="A22" s="4" t="s">
        <v>302</v>
      </c>
      <c r="B22" s="14" t="s">
        <v>303</v>
      </c>
      <c r="C22" s="4" t="s">
        <v>70</v>
      </c>
      <c r="D22" s="15">
        <v>2023</v>
      </c>
      <c r="E22" s="20">
        <f>SUMIFS('02_MASTER'!$F$2:$F$137,'02_MASTER'!$B$2:$B$137,"DK.ENV.WEEE",'02_MASTER'!$E$2:$E$137,2023)</f>
        <v>15.37</v>
      </c>
      <c r="F22" s="4" t="s">
        <v>71</v>
      </c>
      <c r="G22" s="14" t="s">
        <v>304</v>
      </c>
      <c r="H22" s="4" t="s">
        <v>73</v>
      </c>
      <c r="I22" s="4" t="s">
        <v>240</v>
      </c>
      <c r="J22" s="4" t="s">
        <v>305</v>
      </c>
    </row>
    <row r="23" spans="1:10">
      <c r="A23" s="4" t="s">
        <v>307</v>
      </c>
      <c r="B23" s="14" t="s">
        <v>303</v>
      </c>
      <c r="C23" s="4" t="s">
        <v>78</v>
      </c>
      <c r="D23" s="15">
        <v>2023</v>
      </c>
      <c r="E23" s="20">
        <f>SUMIFS('02_MASTER'!$F$2:$F$137,'02_MASTER'!$B$2:$B$137,"EU.ENV.WEEE",'02_MASTER'!$E$2:$E$137,2023)</f>
        <v>80.23</v>
      </c>
      <c r="F23" s="4" t="s">
        <v>71</v>
      </c>
      <c r="G23" s="14" t="s">
        <v>304</v>
      </c>
      <c r="H23" s="4" t="s">
        <v>73</v>
      </c>
      <c r="I23" s="4" t="s">
        <v>240</v>
      </c>
      <c r="J23" s="4" t="s">
        <v>305</v>
      </c>
    </row>
    <row r="24" spans="1:10">
      <c r="A24" s="4" t="s">
        <v>68</v>
      </c>
      <c r="B24" s="14" t="s">
        <v>69</v>
      </c>
      <c r="C24" s="4" t="s">
        <v>70</v>
      </c>
      <c r="D24" s="15">
        <v>2024</v>
      </c>
      <c r="E24" s="20">
        <f>SUMIFS('02_MASTER'!$F$2:$F$137,'02_MASTER'!$B$2:$B$137,"DK.DGX.EGOV.USE",'02_MASTER'!$E$2:$E$137,2024)</f>
        <v>98.5</v>
      </c>
      <c r="F24" s="4" t="s">
        <v>71</v>
      </c>
      <c r="G24" s="14" t="s">
        <v>72</v>
      </c>
      <c r="H24" s="4" t="s">
        <v>73</v>
      </c>
      <c r="I24" s="4" t="s">
        <v>74</v>
      </c>
      <c r="J24" s="4" t="s">
        <v>75</v>
      </c>
    </row>
    <row r="25" spans="1:10">
      <c r="A25" s="4" t="s">
        <v>77</v>
      </c>
      <c r="B25" s="14" t="s">
        <v>69</v>
      </c>
      <c r="C25" s="4" t="s">
        <v>78</v>
      </c>
      <c r="D25" s="15">
        <v>2024</v>
      </c>
      <c r="E25" s="20">
        <f>SUMIFS('02_MASTER'!$F$2:$F$137,'02_MASTER'!$B$2:$B$137,"EU.DGX.EGOV.USE",'02_MASTER'!$E$2:$E$137,2024)</f>
        <v>70.0</v>
      </c>
      <c r="F25" s="4" t="s">
        <v>71</v>
      </c>
      <c r="G25" s="14" t="s">
        <v>72</v>
      </c>
      <c r="H25" s="4" t="s">
        <v>73</v>
      </c>
      <c r="I25" s="4" t="s">
        <v>74</v>
      </c>
      <c r="J25" s="4" t="s">
        <v>75</v>
      </c>
    </row>
    <row r="26" spans="1:10">
      <c r="A26" s="4" t="s">
        <v>242</v>
      </c>
      <c r="B26" s="14" t="s">
        <v>243</v>
      </c>
      <c r="C26" s="4" t="s">
        <v>70</v>
      </c>
      <c r="D26" s="15">
        <v>2026</v>
      </c>
      <c r="E26" s="20">
        <f>SUMIFS('02_MASTER'!$F$2:$F$137,'02_MASTER'!$B$2:$B$137,"DK.DGX.DIFF",'02_MASTER'!$E$2:$E$137,2026)</f>
        <v>16.5</v>
      </c>
      <c r="F26" s="4" t="s">
        <v>71</v>
      </c>
      <c r="G26" s="14" t="s">
        <v>239</v>
      </c>
      <c r="H26" s="4" t="s">
        <v>73</v>
      </c>
      <c r="I26" s="4" t="s">
        <v>240</v>
      </c>
      <c r="J26" s="4" t="s">
        <v>227</v>
      </c>
    </row>
    <row r="27" spans="1:10">
      <c r="A27" s="4" t="s">
        <v>237</v>
      </c>
      <c r="B27" s="14" t="s">
        <v>238</v>
      </c>
      <c r="C27" s="4" t="s">
        <v>70</v>
      </c>
      <c r="D27" s="15">
        <v>2026</v>
      </c>
      <c r="E27" s="20">
        <f>SUMIFS('02_MASTER'!$F$2:$F$137,'02_MASTER'!$B$2:$B$137,"DK.DGX.NOUSE",'02_MASTER'!$E$2:$E$137,2026)</f>
        <v>6.5</v>
      </c>
      <c r="F27" s="4" t="s">
        <v>71</v>
      </c>
      <c r="G27" s="14" t="s">
        <v>239</v>
      </c>
      <c r="H27" s="4" t="s">
        <v>73</v>
      </c>
      <c r="I27" s="4" t="s">
        <v>240</v>
      </c>
      <c r="J27" s="4" t="s">
        <v>227</v>
      </c>
    </row>
    <row r="28" spans="1:10">
      <c r="A28" s="4" t="s">
        <v>223</v>
      </c>
      <c r="B28" s="14" t="s">
        <v>224</v>
      </c>
      <c r="C28" s="4" t="s">
        <v>70</v>
      </c>
      <c r="D28" s="15">
        <v>2025</v>
      </c>
      <c r="E28" s="20">
        <f>SUMIFS('02_MASTER'!$F$2:$F$137,'02_MASTER'!$B$2:$B$137,"DK.DGP.EXMP",'02_MASTER'!$E$2:$E$137,2025)</f>
        <v>5.0</v>
      </c>
      <c r="F28" s="4" t="s">
        <v>71</v>
      </c>
      <c r="G28" s="14" t="s">
        <v>225</v>
      </c>
      <c r="H28" s="4" t="s">
        <v>73</v>
      </c>
      <c r="I28" s="4" t="s">
        <v>226</v>
      </c>
      <c r="J28" s="4" t="s">
        <v>227</v>
      </c>
    </row>
    <row r="29" spans="1:10">
      <c r="A29" s="4" t="s">
        <v>223</v>
      </c>
      <c r="B29" s="14" t="s">
        <v>224</v>
      </c>
      <c r="C29" s="4" t="s">
        <v>70</v>
      </c>
      <c r="D29" s="15">
        <v>2026</v>
      </c>
      <c r="E29" s="20">
        <f>SUMIFS('02_MASTER'!$F$2:$F$137,'02_MASTER'!$B$2:$B$137,"DK.DGP.EXMP",'02_MASTER'!$E$2:$E$137,2026)</f>
        <v>4.7</v>
      </c>
      <c r="F29" s="4" t="s">
        <v>71</v>
      </c>
      <c r="G29" s="14" t="s">
        <v>225</v>
      </c>
      <c r="H29" s="4" t="s">
        <v>73</v>
      </c>
      <c r="I29" s="4" t="s">
        <v>226</v>
      </c>
      <c r="J29" s="4" t="s">
        <v>227</v>
      </c>
    </row>
    <row r="30" spans="1:10">
      <c r="A30" s="4" t="s">
        <v>261</v>
      </c>
      <c r="B30" s="14" t="s">
        <v>262</v>
      </c>
      <c r="C30" s="4" t="s">
        <v>70</v>
      </c>
      <c r="D30" s="15">
        <v>2025</v>
      </c>
      <c r="E30" s="20">
        <f>SUMIFS('02_MASTER'!$F$2:$F$137,'02_MASTER'!$B$2:$B$137,"DK.SKL.1624",'02_MASTER'!$E$2:$E$137,2025)</f>
        <v>92.06</v>
      </c>
      <c r="F30" s="4" t="s">
        <v>71</v>
      </c>
      <c r="G30" s="14" t="s">
        <v>232</v>
      </c>
      <c r="H30" s="4" t="s">
        <v>73</v>
      </c>
      <c r="I30" s="4" t="s">
        <v>240</v>
      </c>
      <c r="J30" s="4" t="s">
        <v>263</v>
      </c>
    </row>
    <row r="31" spans="1:10">
      <c r="A31" s="4" t="s">
        <v>271</v>
      </c>
      <c r="B31" s="14" t="s">
        <v>262</v>
      </c>
      <c r="C31" s="4" t="s">
        <v>78</v>
      </c>
      <c r="D31" s="15">
        <v>2025</v>
      </c>
      <c r="E31" s="20">
        <f>SUMIFS('02_MASTER'!$F$2:$F$137,'02_MASTER'!$B$2:$B$137,"EU.SKL.1624",'02_MASTER'!$E$2:$E$137,2025)</f>
        <v>74.55</v>
      </c>
      <c r="F31" s="4" t="s">
        <v>71</v>
      </c>
      <c r="G31" s="14" t="s">
        <v>232</v>
      </c>
      <c r="H31" s="4" t="s">
        <v>73</v>
      </c>
      <c r="I31" s="4" t="s">
        <v>240</v>
      </c>
      <c r="J31" s="4" t="s">
        <v>263</v>
      </c>
    </row>
    <row r="32" spans="1:10">
      <c r="A32" s="4" t="s">
        <v>265</v>
      </c>
      <c r="B32" s="14" t="s">
        <v>266</v>
      </c>
      <c r="C32" s="4" t="s">
        <v>70</v>
      </c>
      <c r="D32" s="15">
        <v>2025</v>
      </c>
      <c r="E32" s="20">
        <f>SUMIFS('02_MASTER'!$F$2:$F$137,'02_MASTER'!$B$2:$B$137,"DK.SKL.2554",'02_MASTER'!$E$2:$E$137,2025)</f>
        <v>86.89</v>
      </c>
      <c r="F32" s="4" t="s">
        <v>71</v>
      </c>
      <c r="G32" s="14" t="s">
        <v>232</v>
      </c>
      <c r="H32" s="4" t="s">
        <v>73</v>
      </c>
      <c r="I32" s="4" t="s">
        <v>240</v>
      </c>
      <c r="J32" s="4" t="s">
        <v>263</v>
      </c>
    </row>
    <row r="33" spans="1:10">
      <c r="A33" s="4" t="s">
        <v>273</v>
      </c>
      <c r="B33" s="14" t="s">
        <v>266</v>
      </c>
      <c r="C33" s="4" t="s">
        <v>78</v>
      </c>
      <c r="D33" s="15">
        <v>2025</v>
      </c>
      <c r="E33" s="20">
        <f>SUMIFS('02_MASTER'!$F$2:$F$137,'02_MASTER'!$B$2:$B$137,"EU.SKL.2554",'02_MASTER'!$E$2:$E$137,2025)</f>
        <v>68.57</v>
      </c>
      <c r="F33" s="4" t="s">
        <v>71</v>
      </c>
      <c r="G33" s="14" t="s">
        <v>232</v>
      </c>
      <c r="H33" s="4" t="s">
        <v>73</v>
      </c>
      <c r="I33" s="4" t="s">
        <v>240</v>
      </c>
      <c r="J33" s="4" t="s">
        <v>263</v>
      </c>
    </row>
    <row r="34" spans="1:10">
      <c r="A34" s="4" t="s">
        <v>268</v>
      </c>
      <c r="B34" s="14" t="s">
        <v>269</v>
      </c>
      <c r="C34" s="4" t="s">
        <v>70</v>
      </c>
      <c r="D34" s="15">
        <v>2025</v>
      </c>
      <c r="E34" s="20">
        <f>SUMIFS('02_MASTER'!$F$2:$F$137,'02_MASTER'!$B$2:$B$137,"DK.SKL.5574",'02_MASTER'!$E$2:$E$137,2025)</f>
        <v>67.81</v>
      </c>
      <c r="F34" s="4" t="s">
        <v>71</v>
      </c>
      <c r="G34" s="14" t="s">
        <v>232</v>
      </c>
      <c r="H34" s="4" t="s">
        <v>73</v>
      </c>
      <c r="I34" s="4" t="s">
        <v>240</v>
      </c>
      <c r="J34" s="4" t="s">
        <v>263</v>
      </c>
    </row>
    <row r="35" spans="1:10">
      <c r="A35" s="4" t="s">
        <v>275</v>
      </c>
      <c r="B35" s="14" t="s">
        <v>269</v>
      </c>
      <c r="C35" s="4" t="s">
        <v>78</v>
      </c>
      <c r="D35" s="15">
        <v>2025</v>
      </c>
      <c r="E35" s="20">
        <f>SUMIFS('02_MASTER'!$F$2:$F$137,'02_MASTER'!$B$2:$B$137,"EU.SKL.5574",'02_MASTER'!$E$2:$E$137,2025)</f>
        <v>42.6</v>
      </c>
      <c r="F35" s="4" t="s">
        <v>71</v>
      </c>
      <c r="G35" s="14" t="s">
        <v>232</v>
      </c>
      <c r="H35" s="4" t="s">
        <v>73</v>
      </c>
      <c r="I35" s="4" t="s">
        <v>240</v>
      </c>
      <c r="J35" s="4" t="s">
        <v>263</v>
      </c>
    </row>
    <row r="36" spans="1:10">
      <c r="A36" s="4" t="s">
        <v>314</v>
      </c>
      <c r="B36" s="14" t="s">
        <v>315</v>
      </c>
      <c r="C36" s="4" t="s">
        <v>70</v>
      </c>
      <c r="D36" s="15">
        <v>2025</v>
      </c>
      <c r="E36" s="20">
        <f>SUMIFS('02_MASTER'!$F$2:$F$137,'02_MASTER'!$B$2:$B$137,"DK.SME.SMVD.INV",'02_MASTER'!$E$2:$E$137,2025)</f>
        <v>65.0</v>
      </c>
      <c r="F36" s="4" t="s">
        <v>71</v>
      </c>
      <c r="G36" s="14" t="s">
        <v>316</v>
      </c>
      <c r="H36" s="4" t="s">
        <v>73</v>
      </c>
      <c r="I36" s="4" t="s">
        <v>311</v>
      </c>
      <c r="J36" s="4" t="s">
        <v>312</v>
      </c>
    </row>
    <row r="37" spans="1:10">
      <c r="A37" s="4" t="s">
        <v>317</v>
      </c>
      <c r="B37" s="14" t="s">
        <v>318</v>
      </c>
      <c r="C37" s="4" t="s">
        <v>70</v>
      </c>
      <c r="D37" s="15">
        <v>2025</v>
      </c>
      <c r="E37" s="20">
        <f>SUMIFS('02_MASTER'!$F$2:$F$137,'02_MASTER'!$B$2:$B$137,"DK.SME.SMVD.NOINV",'02_MASTER'!$E$2:$E$137,2025)</f>
        <v>2.0</v>
      </c>
      <c r="F37" s="4" t="s">
        <v>71</v>
      </c>
      <c r="G37" s="14" t="s">
        <v>316</v>
      </c>
      <c r="H37" s="4" t="s">
        <v>73</v>
      </c>
      <c r="I37" s="4" t="s">
        <v>311</v>
      </c>
      <c r="J37" s="4" t="s">
        <v>312</v>
      </c>
    </row>
    <row r="38" spans="1:10">
      <c r="A38" s="4" t="s">
        <v>308</v>
      </c>
      <c r="B38" s="14" t="s">
        <v>309</v>
      </c>
      <c r="C38" s="4" t="s">
        <v>70</v>
      </c>
      <c r="D38" s="15">
        <v>2025</v>
      </c>
      <c r="E38" s="17">
        <f>SUMIFS('02_MASTER'!$F$2:$F$137,'02_MASTER'!$B$2:$B$137,"DK.SME.SMVD.PROJ",'02_MASTER'!$E$2:$E$137,2025)</f>
        <v>7000</v>
      </c>
      <c r="F38" s="4" t="s">
        <v>102</v>
      </c>
      <c r="G38" s="14" t="s">
        <v>310</v>
      </c>
      <c r="H38" s="4" t="s">
        <v>113</v>
      </c>
      <c r="I38" s="4" t="s">
        <v>311</v>
      </c>
      <c r="J38" s="4" t="s">
        <v>312</v>
      </c>
    </row>
    <row r="40" spans="1:10">
      <c r="A40" s="21" t="s">
        <v>587</v>
      </c>
    </row>
    <row r="41" spans="1:10">
      <c r="A41" s="21" t="s">
        <v>588</v>
      </c>
    </row>
  </sheetData>
  <autoFilter ref="A4:J38"/>
  <pageMargins left="0.5" right="0.5" top="0.6" bottom="0.6" header="0.3" footer="0.3"/>
  <pageSetup paperSize="9" fitToHeight="0" orientation="landscape"/>
  <headerFooter>
    <oddFooter>&amp;L&amp;A&amp;C&amp;D&amp;R Page &amp;P of &amp;N</oddFooter>
  </headerFooter>
</worksheet>
</file>

<file path=xl/worksheets/sheet7.xml><?xml version="1.0" encoding="utf-8"?>
<worksheet xmlns="http://schemas.openxmlformats.org/spreadsheetml/2006/main" xmlns:r="http://schemas.openxmlformats.org/officeDocument/2006/relationships">
  <sheetPr>
    <tabColor rgb="FF2E6DB4"/>
    <pageSetUpPr fitToPage="1"/>
  </sheetPr>
  <dimension ref="A1:D10"/>
  <sheetViews>
    <sheetView showGridLines="0" workbookViewId="0"/>
  </sheetViews>
  <sheetFormatPr defaultRowHeight="15"/>
  <cols>
    <col min="1" max="1" width="26.7109375" customWidth="1"/>
    <col min="2" max="3" width="11.7109375" customWidth="1"/>
    <col min="4" max="4" width="21.7109375" customWidth="1"/>
    <col min="5" max="6" width="3.7109375" customWidth="1"/>
  </cols>
  <sheetData>
    <row r="1" spans="1:4">
      <c r="A1" s="1" t="s">
        <v>589</v>
      </c>
    </row>
    <row r="2" spans="1:4">
      <c r="A2" s="2" t="s">
        <v>590</v>
      </c>
    </row>
    <row r="4" spans="1:4">
      <c r="A4" s="13" t="s">
        <v>591</v>
      </c>
      <c r="B4" s="13" t="s">
        <v>592</v>
      </c>
      <c r="C4" s="13" t="s">
        <v>519</v>
      </c>
      <c r="D4" s="13" t="s">
        <v>57</v>
      </c>
    </row>
    <row r="5" spans="1:4">
      <c r="A5" s="4" t="s">
        <v>593</v>
      </c>
      <c r="B5" s="20">
        <f>SUMIFS('02_MASTER'!$F$2:$F$137,'02_MASTER'!$B$2:$B$137,"DK.PAY.CASH.POS",'02_MASTER'!$E$2:$E$137,2017)</f>
        <v>23.0</v>
      </c>
      <c r="C5" s="20">
        <f>SUMIFS('02_MASTER'!$F$2:$F$137,'02_MASTER'!$B$2:$B$137,"DK.PAY.CASH.POS",'02_MASTER'!$E$2:$E$137,2025)</f>
        <v>9.0</v>
      </c>
      <c r="D5" s="4" t="s">
        <v>80</v>
      </c>
    </row>
    <row r="6" spans="1:4">
      <c r="A6" s="4" t="s">
        <v>594</v>
      </c>
      <c r="B6" s="20">
        <f>SUMIFS('02_MASTER'!$F$2:$F$137,'02_MASTER'!$B$2:$B$137,"DK.PAY.CRD.PHYS",'02_MASTER'!$E$2:$E$137,2017)</f>
        <v>73.0</v>
      </c>
      <c r="C6" s="20">
        <f>SUMIFS('02_MASTER'!$F$2:$F$137,'02_MASTER'!$B$2:$B$137,"DK.PAY.CRD.PHYS",'02_MASTER'!$E$2:$E$137,2025)</f>
        <v>54.0</v>
      </c>
      <c r="D6" s="4" t="s">
        <v>85</v>
      </c>
    </row>
    <row r="7" spans="1:4">
      <c r="A7" s="4" t="s">
        <v>595</v>
      </c>
      <c r="B7" s="22"/>
      <c r="C7" s="20">
        <f>SUMIFS('02_MASTER'!$F$2:$F$137,'02_MASTER'!$B$2:$B$137,"DK.PAY.WLT.SHR",'02_MASTER'!$E$2:$E$137,2025)</f>
        <v>32.0</v>
      </c>
      <c r="D7" s="4" t="s">
        <v>87</v>
      </c>
    </row>
    <row r="9" spans="1:4">
      <c r="A9" s="21" t="s">
        <v>596</v>
      </c>
    </row>
    <row r="10" spans="1:4">
      <c r="A10" s="21" t="s">
        <v>597</v>
      </c>
    </row>
  </sheetData>
  <pageMargins left="0.5" right="0.5" top="0.6" bottom="0.6" header="0.3" footer="0.3"/>
  <pageSetup paperSize="9" fitToHeight="0" orientation="landscape"/>
  <headerFooter>
    <oddFooter>&amp;L&amp;A&amp;C&amp;D&amp;R Page &amp;P of &amp;N</oddFooter>
  </headerFooter>
  <drawing r:id="rId1"/>
</worksheet>
</file>

<file path=xl/worksheets/sheet8.xml><?xml version="1.0" encoding="utf-8"?>
<worksheet xmlns="http://schemas.openxmlformats.org/spreadsheetml/2006/main" xmlns:r="http://schemas.openxmlformats.org/officeDocument/2006/relationships">
  <sheetPr>
    <tabColor rgb="FF2E6DB4"/>
    <pageSetUpPr fitToPage="1"/>
  </sheetPr>
  <dimension ref="A1:F13"/>
  <sheetViews>
    <sheetView showGridLines="0" workbookViewId="0"/>
  </sheetViews>
  <sheetFormatPr defaultRowHeight="15"/>
  <cols>
    <col min="1" max="1" width="44.7109375" customWidth="1"/>
    <col min="2" max="2" width="8.7109375" customWidth="1"/>
    <col min="3" max="3" width="20.7109375" customWidth="1"/>
    <col min="4" max="4" width="7.7109375" customWidth="1"/>
    <col min="5" max="5" width="9.7109375" customWidth="1"/>
    <col min="6" max="6" width="20.7109375" customWidth="1"/>
  </cols>
  <sheetData>
    <row r="1" spans="1:6">
      <c r="A1" s="1" t="s">
        <v>598</v>
      </c>
    </row>
    <row r="2" spans="1:6">
      <c r="A2" s="2" t="s">
        <v>599</v>
      </c>
    </row>
    <row r="4" spans="1:6">
      <c r="A4" s="13" t="s">
        <v>600</v>
      </c>
      <c r="B4" s="13" t="s">
        <v>71</v>
      </c>
      <c r="C4" s="13" t="s">
        <v>601</v>
      </c>
      <c r="D4" s="13" t="s">
        <v>60</v>
      </c>
      <c r="E4" s="13" t="s">
        <v>586</v>
      </c>
      <c r="F4" s="13" t="s">
        <v>57</v>
      </c>
    </row>
    <row r="5" spans="1:6">
      <c r="A5" s="4" t="s">
        <v>602</v>
      </c>
      <c r="B5" s="20">
        <f>SUMIFS('02_MASTER'!$F$2:$F$137,'02_MASTER'!$B$2:$B$137,"DK.DGP.EXMP",'02_MASTER'!$E$2:$E$137,2026)</f>
        <v>4.7</v>
      </c>
      <c r="C5" s="4" t="s">
        <v>603</v>
      </c>
      <c r="D5" s="15">
        <v>2026</v>
      </c>
      <c r="E5" s="4" t="s">
        <v>226</v>
      </c>
      <c r="F5" s="4" t="s">
        <v>223</v>
      </c>
    </row>
    <row r="6" spans="1:6">
      <c r="A6" s="4" t="s">
        <v>604</v>
      </c>
      <c r="B6" s="20">
        <f>SUMIFS('02_MASTER'!$F$2:$F$137,'02_MASTER'!$B$2:$B$137,"DK.DGX.NOUSE",'02_MASTER'!$E$2:$E$137,2026)</f>
        <v>6.5</v>
      </c>
      <c r="C6" s="4" t="s">
        <v>605</v>
      </c>
      <c r="D6" s="15">
        <v>2026</v>
      </c>
      <c r="E6" s="4" t="s">
        <v>240</v>
      </c>
      <c r="F6" s="4" t="s">
        <v>237</v>
      </c>
    </row>
    <row r="7" spans="1:6">
      <c r="A7" s="4" t="s">
        <v>606</v>
      </c>
      <c r="B7" s="20">
        <f>SUMIFS('02_MASTER'!$F$2:$F$137,'02_MASTER'!$B$2:$B$137,"DK.DGX.DIFF",'02_MASTER'!$E$2:$E$137,2026)</f>
        <v>16.5</v>
      </c>
      <c r="C7" s="4" t="s">
        <v>607</v>
      </c>
      <c r="D7" s="15">
        <v>2026</v>
      </c>
      <c r="E7" s="4" t="s">
        <v>240</v>
      </c>
      <c r="F7" s="4" t="s">
        <v>242</v>
      </c>
    </row>
    <row r="8" spans="1:6">
      <c r="A8" s="4" t="s">
        <v>608</v>
      </c>
      <c r="B8" s="17">
        <f>SUMIFS('02_MASTER'!$F$2:$F$137,'02_MASTER'!$B$2:$B$137,"DK.DGX.DISADV.LO",'02_MASTER'!$E$2:$E$137,2025)</f>
        <v>17.0</v>
      </c>
      <c r="C8" s="4" t="s">
        <v>609</v>
      </c>
      <c r="D8" s="15">
        <v>2025</v>
      </c>
      <c r="E8" s="4" t="s">
        <v>247</v>
      </c>
      <c r="F8" s="4" t="s">
        <v>244</v>
      </c>
    </row>
    <row r="9" spans="1:6">
      <c r="A9" s="4" t="s">
        <v>610</v>
      </c>
      <c r="B9" s="17">
        <f>SUMIFS('02_MASTER'!$F$2:$F$137,'02_MASTER'!$B$2:$B$137,"DK.DGX.DISADV.HI",'02_MASTER'!$E$2:$E$137,2025)</f>
        <v>22.0</v>
      </c>
      <c r="C9" s="4" t="s">
        <v>609</v>
      </c>
      <c r="D9" s="15">
        <v>2025</v>
      </c>
      <c r="E9" s="4" t="s">
        <v>247</v>
      </c>
      <c r="F9" s="4" t="s">
        <v>250</v>
      </c>
    </row>
    <row r="10" spans="1:6">
      <c r="A10" s="4" t="s">
        <v>611</v>
      </c>
      <c r="B10" s="17">
        <f>SUMIFS('02_MASTER'!$F$2:$F$137,'02_MASTER'!$B$2:$B$137,"DK.DGX.JUST",'02_MASTER'!$E$2:$E$137,2022)</f>
        <v>25.0</v>
      </c>
      <c r="C10" s="4" t="s">
        <v>609</v>
      </c>
      <c r="D10" s="15">
        <v>2022</v>
      </c>
      <c r="E10" s="4" t="s">
        <v>254</v>
      </c>
      <c r="F10" s="4" t="s">
        <v>252</v>
      </c>
    </row>
    <row r="12" spans="1:6">
      <c r="A12" s="21" t="s">
        <v>612</v>
      </c>
    </row>
    <row r="13" spans="1:6">
      <c r="A13" s="21" t="s">
        <v>613</v>
      </c>
    </row>
  </sheetData>
  <pageMargins left="0.5" right="0.5" top="0.6" bottom="0.6" header="0.3" footer="0.3"/>
  <pageSetup paperSize="9" fitToHeight="0" orientation="landscape"/>
  <headerFooter>
    <oddFooter>&amp;L&amp;A&amp;C&amp;D&amp;R Page &amp;P of &amp;N</oddFooter>
  </headerFooter>
  <drawing r:id="rId1"/>
</worksheet>
</file>

<file path=xl/worksheets/sheet9.xml><?xml version="1.0" encoding="utf-8"?>
<worksheet xmlns="http://schemas.openxmlformats.org/spreadsheetml/2006/main" xmlns:r="http://schemas.openxmlformats.org/officeDocument/2006/relationships">
  <sheetPr>
    <tabColor rgb="FF2E6DB4"/>
    <pageSetUpPr fitToPage="1"/>
  </sheetPr>
  <dimension ref="A1:E35"/>
  <sheetViews>
    <sheetView showGridLines="0" workbookViewId="0">
      <pane ySplit="4" topLeftCell="A5" activePane="bottomLeft" state="frozen"/>
      <selection pane="bottomLeft"/>
    </sheetView>
  </sheetViews>
  <sheetFormatPr defaultRowHeight="15"/>
  <cols>
    <col min="1" max="1" width="7.7109375" customWidth="1"/>
    <col min="2" max="2" width="22.7109375" customWidth="1"/>
    <col min="3" max="3" width="9.7109375" customWidth="1"/>
    <col min="4" max="4" width="20.7109375" customWidth="1"/>
    <col min="5" max="5" width="14.7109375" customWidth="1"/>
  </cols>
  <sheetData>
    <row r="1" spans="1:5">
      <c r="A1" s="1" t="s">
        <v>614</v>
      </c>
    </row>
    <row r="2" spans="1:5">
      <c r="A2" s="2" t="s">
        <v>615</v>
      </c>
    </row>
    <row r="4" spans="1:5">
      <c r="A4" s="13" t="s">
        <v>59</v>
      </c>
      <c r="B4" s="13" t="s">
        <v>616</v>
      </c>
      <c r="C4" s="13" t="s">
        <v>71</v>
      </c>
      <c r="D4" s="13" t="s">
        <v>57</v>
      </c>
      <c r="E4" s="13" t="s">
        <v>617</v>
      </c>
    </row>
    <row r="5" spans="1:5">
      <c r="A5" s="4" t="s">
        <v>160</v>
      </c>
      <c r="B5" s="4" t="s">
        <v>618</v>
      </c>
      <c r="C5" s="20">
        <f>SUMIFS('02_MASTER'!$F$2:$F$137,'02_MASTER'!$B$2:$B$137,"IE.ECM.IND.BUY",'02_MASTER'!$E$2:$E$137,2024)</f>
        <v>95.79</v>
      </c>
      <c r="D5" s="4" t="s">
        <v>159</v>
      </c>
      <c r="E5" s="20">
        <f>SUMIFS('02_MASTER'!$F$2:$F$137,'02_MASTER'!$B$2:$B$137,"EU.ECM.IND.BUY",'02_MASTER'!$E$2:$E$137,2024)</f>
        <v>76.58</v>
      </c>
    </row>
    <row r="6" spans="1:5">
      <c r="A6" s="4" t="s">
        <v>175</v>
      </c>
      <c r="B6" s="4" t="s">
        <v>619</v>
      </c>
      <c r="C6" s="20">
        <f>SUMIFS('02_MASTER'!$F$2:$F$137,'02_MASTER'!$B$2:$B$137,"NL.ECM.IND.BUY",'02_MASTER'!$E$2:$E$137,2024)</f>
        <v>94.42</v>
      </c>
      <c r="D6" s="4" t="s">
        <v>174</v>
      </c>
      <c r="E6" s="20">
        <f>SUMIFS('02_MASTER'!$F$2:$F$137,'02_MASTER'!$B$2:$B$137,"EU.ECM.IND.BUY",'02_MASTER'!$E$2:$E$137,2024)</f>
        <v>76.58</v>
      </c>
    </row>
    <row r="7" spans="1:5">
      <c r="A7" s="4" t="s">
        <v>70</v>
      </c>
      <c r="B7" s="4" t="s">
        <v>620</v>
      </c>
      <c r="C7" s="20">
        <f>SUMIFS('02_MASTER'!$F$2:$F$137,'02_MASTER'!$B$2:$B$137,"DK.ECM.IND.BUY",'02_MASTER'!$E$2:$E$137,2024)</f>
        <v>90.86</v>
      </c>
      <c r="D7" s="4" t="s">
        <v>116</v>
      </c>
      <c r="E7" s="20">
        <f>SUMIFS('02_MASTER'!$F$2:$F$137,'02_MASTER'!$B$2:$B$137,"EU.ECM.IND.BUY",'02_MASTER'!$E$2:$E$137,2024)</f>
        <v>76.58</v>
      </c>
    </row>
    <row r="8" spans="1:5">
      <c r="A8" s="4" t="s">
        <v>185</v>
      </c>
      <c r="B8" s="4" t="s">
        <v>621</v>
      </c>
      <c r="C8" s="20">
        <f>SUMIFS('02_MASTER'!$F$2:$F$137,'02_MASTER'!$B$2:$B$137,"SE.ECM.IND.BUY",'02_MASTER'!$E$2:$E$137,2024)</f>
        <v>89.89</v>
      </c>
      <c r="D8" s="4" t="s">
        <v>184</v>
      </c>
      <c r="E8" s="20">
        <f>SUMIFS('02_MASTER'!$F$2:$F$137,'02_MASTER'!$B$2:$B$137,"EU.ECM.IND.BUY",'02_MASTER'!$E$2:$E$137,2024)</f>
        <v>76.58</v>
      </c>
    </row>
    <row r="9" spans="1:5">
      <c r="A9" s="4" t="s">
        <v>139</v>
      </c>
      <c r="B9" s="4" t="s">
        <v>622</v>
      </c>
      <c r="C9" s="20">
        <f>SUMIFS('02_MASTER'!$F$2:$F$137,'02_MASTER'!$B$2:$B$137,"CZ.ECM.IND.BUY",'02_MASTER'!$E$2:$E$137,2024)</f>
        <v>86.21</v>
      </c>
      <c r="D9" s="4" t="s">
        <v>138</v>
      </c>
      <c r="E9" s="20">
        <f>SUMIFS('02_MASTER'!$F$2:$F$137,'02_MASTER'!$B$2:$B$137,"EU.ECM.IND.BUY",'02_MASTER'!$E$2:$E$137,2024)</f>
        <v>76.58</v>
      </c>
    </row>
    <row r="10" spans="1:5">
      <c r="A10" s="4" t="s">
        <v>189</v>
      </c>
      <c r="B10" s="4" t="s">
        <v>623</v>
      </c>
      <c r="C10" s="20">
        <f>SUMIFS('02_MASTER'!$F$2:$F$137,'02_MASTER'!$B$2:$B$137,"SK.ECM.IND.BUY",'02_MASTER'!$E$2:$E$137,2024)</f>
        <v>85.13</v>
      </c>
      <c r="D10" s="4" t="s">
        <v>188</v>
      </c>
      <c r="E10" s="20">
        <f>SUMIFS('02_MASTER'!$F$2:$F$137,'02_MASTER'!$B$2:$B$137,"EU.ECM.IND.BUY",'02_MASTER'!$E$2:$E$137,2024)</f>
        <v>76.58</v>
      </c>
    </row>
    <row r="11" spans="1:5">
      <c r="A11" s="4" t="s">
        <v>153</v>
      </c>
      <c r="B11" s="4" t="s">
        <v>624</v>
      </c>
      <c r="C11" s="20">
        <f>SUMIFS('02_MASTER'!$F$2:$F$137,'02_MASTER'!$B$2:$B$137,"FR.ECM.IND.BUY",'02_MASTER'!$E$2:$E$137,2024)</f>
        <v>84.37</v>
      </c>
      <c r="D11" s="4" t="s">
        <v>152</v>
      </c>
      <c r="E11" s="20">
        <f>SUMIFS('02_MASTER'!$F$2:$F$137,'02_MASTER'!$B$2:$B$137,"EU.ECM.IND.BUY",'02_MASTER'!$E$2:$E$137,2024)</f>
        <v>76.58</v>
      </c>
    </row>
    <row r="12" spans="1:5">
      <c r="A12" s="4" t="s">
        <v>141</v>
      </c>
      <c r="B12" s="4" t="s">
        <v>625</v>
      </c>
      <c r="C12" s="20">
        <f>SUMIFS('02_MASTER'!$F$2:$F$137,'02_MASTER'!$B$2:$B$137,"DE.ECM.IND.BUY",'02_MASTER'!$E$2:$E$137,2024)</f>
        <v>82.53</v>
      </c>
      <c r="D12" s="4" t="s">
        <v>140</v>
      </c>
      <c r="E12" s="20">
        <f>SUMIFS('02_MASTER'!$F$2:$F$137,'02_MASTER'!$B$2:$B$137,"EU.ECM.IND.BUY",'02_MASTER'!$E$2:$E$137,2024)</f>
        <v>76.58</v>
      </c>
    </row>
    <row r="13" spans="1:5">
      <c r="A13" s="4" t="s">
        <v>169</v>
      </c>
      <c r="B13" s="4" t="s">
        <v>626</v>
      </c>
      <c r="C13" s="20">
        <f>SUMIFS('02_MASTER'!$F$2:$F$137,'02_MASTER'!$B$2:$B$137,"LU.ECM.IND.BUY",'02_MASTER'!$E$2:$E$137,2024)</f>
        <v>81.34</v>
      </c>
      <c r="D13" s="4" t="s">
        <v>168</v>
      </c>
      <c r="E13" s="20">
        <f>SUMIFS('02_MASTER'!$F$2:$F$137,'02_MASTER'!$B$2:$B$137,"EU.ECM.IND.BUY",'02_MASTER'!$E$2:$E$137,2024)</f>
        <v>76.58</v>
      </c>
    </row>
    <row r="14" spans="1:5">
      <c r="A14" s="4" t="s">
        <v>151</v>
      </c>
      <c r="B14" s="4" t="s">
        <v>627</v>
      </c>
      <c r="C14" s="20">
        <f>SUMIFS('02_MASTER'!$F$2:$F$137,'02_MASTER'!$B$2:$B$137,"FI.ECM.IND.BUY",'02_MASTER'!$E$2:$E$137,2024)</f>
        <v>80.4</v>
      </c>
      <c r="D14" s="4" t="s">
        <v>150</v>
      </c>
      <c r="E14" s="20">
        <f>SUMIFS('02_MASTER'!$F$2:$F$137,'02_MASTER'!$B$2:$B$137,"EU.ECM.IND.BUY",'02_MASTER'!$E$2:$E$137,2024)</f>
        <v>76.58</v>
      </c>
    </row>
    <row r="15" spans="1:5">
      <c r="A15" s="4" t="s">
        <v>132</v>
      </c>
      <c r="B15" s="4" t="s">
        <v>628</v>
      </c>
      <c r="C15" s="20">
        <f>SUMIFS('02_MASTER'!$F$2:$F$137,'02_MASTER'!$B$2:$B$137,"BE.ECM.IND.BUY",'02_MASTER'!$E$2:$E$137,2024)</f>
        <v>78.98</v>
      </c>
      <c r="D15" s="4" t="s">
        <v>131</v>
      </c>
      <c r="E15" s="20">
        <f>SUMIFS('02_MASTER'!$F$2:$F$137,'02_MASTER'!$B$2:$B$137,"EU.ECM.IND.BUY",'02_MASTER'!$E$2:$E$137,2024)</f>
        <v>76.58</v>
      </c>
    </row>
    <row r="16" spans="1:5">
      <c r="A16" s="4" t="s">
        <v>157</v>
      </c>
      <c r="B16" s="4" t="s">
        <v>629</v>
      </c>
      <c r="C16" s="20">
        <f>SUMIFS('02_MASTER'!$F$2:$F$137,'02_MASTER'!$B$2:$B$137,"HU.ECM.IND.BUY",'02_MASTER'!$E$2:$E$137,2024)</f>
        <v>78.87</v>
      </c>
      <c r="D16" s="4" t="s">
        <v>156</v>
      </c>
      <c r="E16" s="20">
        <f>SUMIFS('02_MASTER'!$F$2:$F$137,'02_MASTER'!$B$2:$B$137,"EU.ECM.IND.BUY",'02_MASTER'!$E$2:$E$137,2024)</f>
        <v>76.58</v>
      </c>
    </row>
    <row r="17" spans="1:5">
      <c r="A17" s="4" t="s">
        <v>145</v>
      </c>
      <c r="B17" s="4" t="s">
        <v>630</v>
      </c>
      <c r="C17" s="20">
        <f>SUMIFS('02_MASTER'!$F$2:$F$137,'02_MASTER'!$B$2:$B$137,"EE.ECM.IND.BUY",'02_MASTER'!$E$2:$E$137,2024)</f>
        <v>78.72</v>
      </c>
      <c r="D17" s="4" t="s">
        <v>144</v>
      </c>
      <c r="E17" s="20">
        <f>SUMIFS('02_MASTER'!$F$2:$F$137,'02_MASTER'!$B$2:$B$137,"EU.ECM.IND.BUY",'02_MASTER'!$E$2:$E$137,2024)</f>
        <v>76.58</v>
      </c>
    </row>
    <row r="18" spans="1:5">
      <c r="A18" s="4" t="s">
        <v>178</v>
      </c>
      <c r="B18" s="4" t="s">
        <v>631</v>
      </c>
      <c r="C18" s="20">
        <f>SUMIFS('02_MASTER'!$F$2:$F$137,'02_MASTER'!$B$2:$B$137,"PL.ECM.IND.BUY",'02_MASTER'!$E$2:$E$137,2024)</f>
        <v>75.07</v>
      </c>
      <c r="D18" s="4" t="s">
        <v>177</v>
      </c>
      <c r="E18" s="20">
        <f>SUMIFS('02_MASTER'!$F$2:$F$137,'02_MASTER'!$B$2:$B$137,"EU.ECM.IND.BUY",'02_MASTER'!$E$2:$E$137,2024)</f>
        <v>76.58</v>
      </c>
    </row>
    <row r="19" spans="1:5">
      <c r="A19" s="4" t="s">
        <v>147</v>
      </c>
      <c r="B19" s="4" t="s">
        <v>632</v>
      </c>
      <c r="C19" s="20">
        <f>SUMIFS('02_MASTER'!$F$2:$F$137,'02_MASTER'!$B$2:$B$137,"EL.ECM.IND.BUY",'02_MASTER'!$E$2:$E$137,2024)</f>
        <v>74.66</v>
      </c>
      <c r="D19" s="4" t="s">
        <v>146</v>
      </c>
      <c r="E19" s="20">
        <f>SUMIFS('02_MASTER'!$F$2:$F$137,'02_MASTER'!$B$2:$B$137,"EU.ECM.IND.BUY",'02_MASTER'!$E$2:$E$137,2024)</f>
        <v>76.58</v>
      </c>
    </row>
    <row r="20" spans="1:5">
      <c r="A20" s="4" t="s">
        <v>130</v>
      </c>
      <c r="B20" s="4" t="s">
        <v>633</v>
      </c>
      <c r="C20" s="20">
        <f>SUMIFS('02_MASTER'!$F$2:$F$137,'02_MASTER'!$B$2:$B$137,"AT.ECM.IND.BUY",'02_MASTER'!$E$2:$E$137,2024)</f>
        <v>74.18</v>
      </c>
      <c r="D20" s="4" t="s">
        <v>129</v>
      </c>
      <c r="E20" s="20">
        <f>SUMIFS('02_MASTER'!$F$2:$F$137,'02_MASTER'!$B$2:$B$137,"EU.ECM.IND.BUY",'02_MASTER'!$E$2:$E$137,2024)</f>
        <v>76.58</v>
      </c>
    </row>
    <row r="21" spans="1:5">
      <c r="A21" s="4" t="s">
        <v>173</v>
      </c>
      <c r="B21" s="4" t="s">
        <v>634</v>
      </c>
      <c r="C21" s="20">
        <f>SUMIFS('02_MASTER'!$F$2:$F$137,'02_MASTER'!$B$2:$B$137,"MT.ECM.IND.BUY",'02_MASTER'!$E$2:$E$137,2024)</f>
        <v>73.2</v>
      </c>
      <c r="D21" s="4" t="s">
        <v>172</v>
      </c>
      <c r="E21" s="20">
        <f>SUMIFS('02_MASTER'!$F$2:$F$137,'02_MASTER'!$B$2:$B$137,"EU.ECM.IND.BUY",'02_MASTER'!$E$2:$E$137,2024)</f>
        <v>76.58</v>
      </c>
    </row>
    <row r="22" spans="1:5">
      <c r="A22" s="4" t="s">
        <v>187</v>
      </c>
      <c r="B22" s="4" t="s">
        <v>635</v>
      </c>
      <c r="C22" s="20">
        <f>SUMIFS('02_MASTER'!$F$2:$F$137,'02_MASTER'!$B$2:$B$137,"SI.ECM.IND.BUY",'02_MASTER'!$E$2:$E$137,2024)</f>
        <v>72.39</v>
      </c>
      <c r="D22" s="4" t="s">
        <v>186</v>
      </c>
      <c r="E22" s="20">
        <f>SUMIFS('02_MASTER'!$F$2:$F$137,'02_MASTER'!$B$2:$B$137,"EU.ECM.IND.BUY",'02_MASTER'!$E$2:$E$137,2024)</f>
        <v>76.58</v>
      </c>
    </row>
    <row r="23" spans="1:5">
      <c r="A23" s="4" t="s">
        <v>166</v>
      </c>
      <c r="B23" s="4" t="s">
        <v>636</v>
      </c>
      <c r="C23" s="20">
        <f>SUMIFS('02_MASTER'!$F$2:$F$137,'02_MASTER'!$B$2:$B$137,"LT.ECM.IND.BUY",'02_MASTER'!$E$2:$E$137,2024)</f>
        <v>71.96</v>
      </c>
      <c r="D23" s="4" t="s">
        <v>165</v>
      </c>
      <c r="E23" s="20">
        <f>SUMIFS('02_MASTER'!$F$2:$F$137,'02_MASTER'!$B$2:$B$137,"EU.ECM.IND.BUY",'02_MASTER'!$E$2:$E$137,2024)</f>
        <v>76.58</v>
      </c>
    </row>
    <row r="24" spans="1:5">
      <c r="A24" s="4" t="s">
        <v>149</v>
      </c>
      <c r="B24" s="4" t="s">
        <v>637</v>
      </c>
      <c r="C24" s="20">
        <f>SUMIFS('02_MASTER'!$F$2:$F$137,'02_MASTER'!$B$2:$B$137,"ES.ECM.IND.BUY",'02_MASTER'!$E$2:$E$137,2024)</f>
        <v>71.54</v>
      </c>
      <c r="D24" s="4" t="s">
        <v>148</v>
      </c>
      <c r="E24" s="20">
        <f>SUMIFS('02_MASTER'!$F$2:$F$137,'02_MASTER'!$B$2:$B$137,"EU.ECM.IND.BUY",'02_MASTER'!$E$2:$E$137,2024)</f>
        <v>76.58</v>
      </c>
    </row>
    <row r="25" spans="1:5">
      <c r="A25" s="4" t="s">
        <v>155</v>
      </c>
      <c r="B25" s="4" t="s">
        <v>638</v>
      </c>
      <c r="C25" s="20">
        <f>SUMIFS('02_MASTER'!$F$2:$F$137,'02_MASTER'!$B$2:$B$137,"HR.ECM.IND.BUY",'02_MASTER'!$E$2:$E$137,2024)</f>
        <v>70.07</v>
      </c>
      <c r="D25" s="4" t="s">
        <v>154</v>
      </c>
      <c r="E25" s="20">
        <f>SUMIFS('02_MASTER'!$F$2:$F$137,'02_MASTER'!$B$2:$B$137,"EU.ECM.IND.BUY",'02_MASTER'!$E$2:$E$137,2024)</f>
        <v>76.58</v>
      </c>
    </row>
    <row r="26" spans="1:5">
      <c r="A26" s="4" t="s">
        <v>171</v>
      </c>
      <c r="B26" s="4" t="s">
        <v>639</v>
      </c>
      <c r="C26" s="20">
        <f>SUMIFS('02_MASTER'!$F$2:$F$137,'02_MASTER'!$B$2:$B$137,"LV.ECM.IND.BUY",'02_MASTER'!$E$2:$E$137,2024)</f>
        <v>69.35</v>
      </c>
      <c r="D26" s="4" t="s">
        <v>170</v>
      </c>
      <c r="E26" s="20">
        <f>SUMIFS('02_MASTER'!$F$2:$F$137,'02_MASTER'!$B$2:$B$137,"EU.ECM.IND.BUY",'02_MASTER'!$E$2:$E$137,2024)</f>
        <v>76.58</v>
      </c>
    </row>
    <row r="27" spans="1:5">
      <c r="A27" s="4" t="s">
        <v>137</v>
      </c>
      <c r="B27" s="4" t="s">
        <v>640</v>
      </c>
      <c r="C27" s="20">
        <f>SUMIFS('02_MASTER'!$F$2:$F$137,'02_MASTER'!$B$2:$B$137,"CY.ECM.IND.BUY",'02_MASTER'!$E$2:$E$137,2024)</f>
        <v>68.16</v>
      </c>
      <c r="D27" s="4" t="s">
        <v>136</v>
      </c>
      <c r="E27" s="20">
        <f>SUMIFS('02_MASTER'!$F$2:$F$137,'02_MASTER'!$B$2:$B$137,"EU.ECM.IND.BUY",'02_MASTER'!$E$2:$E$137,2024)</f>
        <v>76.58</v>
      </c>
    </row>
    <row r="28" spans="1:5">
      <c r="A28" s="4" t="s">
        <v>180</v>
      </c>
      <c r="B28" s="4" t="s">
        <v>641</v>
      </c>
      <c r="C28" s="20">
        <f>SUMIFS('02_MASTER'!$F$2:$F$137,'02_MASTER'!$B$2:$B$137,"PT.ECM.IND.BUY",'02_MASTER'!$E$2:$E$137,2024)</f>
        <v>66.64</v>
      </c>
      <c r="D28" s="4" t="s">
        <v>179</v>
      </c>
      <c r="E28" s="20">
        <f>SUMIFS('02_MASTER'!$F$2:$F$137,'02_MASTER'!$B$2:$B$137,"EU.ECM.IND.BUY",'02_MASTER'!$E$2:$E$137,2024)</f>
        <v>76.58</v>
      </c>
    </row>
    <row r="29" spans="1:5">
      <c r="A29" s="4" t="s">
        <v>182</v>
      </c>
      <c r="B29" s="4" t="s">
        <v>642</v>
      </c>
      <c r="C29" s="20">
        <f>SUMIFS('02_MASTER'!$F$2:$F$137,'02_MASTER'!$B$2:$B$137,"RO.ECM.IND.BUY",'02_MASTER'!$E$2:$E$137,2024)</f>
        <v>59.73</v>
      </c>
      <c r="D29" s="4" t="s">
        <v>181</v>
      </c>
      <c r="E29" s="20">
        <f>SUMIFS('02_MASTER'!$F$2:$F$137,'02_MASTER'!$B$2:$B$137,"EU.ECM.IND.BUY",'02_MASTER'!$E$2:$E$137,2024)</f>
        <v>76.58</v>
      </c>
    </row>
    <row r="30" spans="1:5">
      <c r="A30" s="4" t="s">
        <v>163</v>
      </c>
      <c r="B30" s="4" t="s">
        <v>643</v>
      </c>
      <c r="C30" s="20">
        <f>SUMIFS('02_MASTER'!$F$2:$F$137,'02_MASTER'!$B$2:$B$137,"IT.ECM.IND.BUY",'02_MASTER'!$E$2:$E$137,2024)</f>
        <v>59.6</v>
      </c>
      <c r="D30" s="4" t="s">
        <v>162</v>
      </c>
      <c r="E30" s="20">
        <f>SUMIFS('02_MASTER'!$F$2:$F$137,'02_MASTER'!$B$2:$B$137,"EU.ECM.IND.BUY",'02_MASTER'!$E$2:$E$137,2024)</f>
        <v>76.58</v>
      </c>
    </row>
    <row r="31" spans="1:5">
      <c r="A31" s="4" t="s">
        <v>134</v>
      </c>
      <c r="B31" s="4" t="s">
        <v>644</v>
      </c>
      <c r="C31" s="20">
        <f>SUMIFS('02_MASTER'!$F$2:$F$137,'02_MASTER'!$B$2:$B$137,"BG.ECM.IND.BUY",'02_MASTER'!$E$2:$E$137,2024)</f>
        <v>57.18</v>
      </c>
      <c r="D31" s="4" t="s">
        <v>133</v>
      </c>
      <c r="E31" s="20">
        <f>SUMIFS('02_MASTER'!$F$2:$F$137,'02_MASTER'!$B$2:$B$137,"EU.ECM.IND.BUY",'02_MASTER'!$E$2:$E$137,2024)</f>
        <v>76.58</v>
      </c>
    </row>
    <row r="33" spans="1:4">
      <c r="B33" s="3" t="s">
        <v>645</v>
      </c>
      <c r="C33" s="20">
        <f>SUMIFS('02_MASTER'!$F$2:$F$137,'02_MASTER'!$B$2:$B$137,"EU.ECM.IND.BUY",'02_MASTER'!$E$2:$E$137,2024)</f>
        <v>76.58</v>
      </c>
      <c r="D33" s="4" t="s">
        <v>127</v>
      </c>
    </row>
    <row r="35" spans="1:4">
      <c r="A35" s="21" t="s">
        <v>646</v>
      </c>
    </row>
  </sheetData>
  <pageMargins left="0.5" right="0.5" top="0.6" bottom="0.6" header="0.3" footer="0.3"/>
  <pageSetup paperSize="9" fitToHeight="0" orientation="landscape"/>
  <headerFooter>
    <oddFooter>&amp;L&amp;A&amp;C&amp;D&amp;R Page &amp;P of &amp;N</oddFooter>
  </headerFooter>
  <drawing r:id="rId1"/>
</worksheet>
</file>

<file path=xl/worksheets/sheet10.xml><?xml version="1.0" encoding="utf-8"?>
<worksheet xmlns="http://schemas.openxmlformats.org/spreadsheetml/2006/main" xmlns:r="http://schemas.openxmlformats.org/officeDocument/2006/relationships">
  <sheetPr>
    <tabColor rgb="FF2E6DB4"/>
    <pageSetUpPr fitToPage="1"/>
  </sheetPr>
  <dimension ref="A1:D31"/>
  <sheetViews>
    <sheetView showGridLines="0" workbookViewId="0"/>
  </sheetViews>
  <sheetFormatPr defaultRowHeight="15"/>
  <cols>
    <col min="1" max="1" width="38.7109375" customWidth="1"/>
    <col min="2" max="2" width="22.7109375" customWidth="1"/>
    <col min="3" max="3" width="17.7109375" customWidth="1"/>
    <col min="4" max="4" width="20.7109375" customWidth="1"/>
  </cols>
  <sheetData>
    <row r="1" spans="1:4">
      <c r="A1" s="1" t="s">
        <v>647</v>
      </c>
    </row>
    <row r="2" spans="1:4">
      <c r="A2" s="2" t="s">
        <v>648</v>
      </c>
    </row>
    <row r="4" spans="1:4">
      <c r="A4" s="13" t="s">
        <v>59</v>
      </c>
      <c r="B4" s="13" t="s">
        <v>616</v>
      </c>
      <c r="C4" s="13" t="s">
        <v>649</v>
      </c>
      <c r="D4" s="13" t="s">
        <v>650</v>
      </c>
    </row>
    <row r="5" spans="1:4">
      <c r="A5" s="4" t="s">
        <v>130</v>
      </c>
      <c r="B5" s="4" t="s">
        <v>633</v>
      </c>
      <c r="C5" s="20">
        <f>SUMIFS('02_MASTER'!$F$2:$F$137,'02_MASTER'!$B$2:$B$137,"AT.ECM.IND.BUY",'02_MASTER'!$E$2:$E$137,2024)</f>
        <v>74.18</v>
      </c>
      <c r="D5" s="20">
        <f>SUMIFS('02_MASTER'!$F$2:$F$137,'02_MASTER'!$B$2:$B$137,"AT.ECM.ENT.TRN",'02_MASTER'!$E$2:$E$137,2024)</f>
        <v>18.96</v>
      </c>
    </row>
    <row r="6" spans="1:4">
      <c r="A6" s="4" t="s">
        <v>132</v>
      </c>
      <c r="B6" s="4" t="s">
        <v>628</v>
      </c>
      <c r="C6" s="20">
        <f>SUMIFS('02_MASTER'!$F$2:$F$137,'02_MASTER'!$B$2:$B$137,"BE.ECM.IND.BUY",'02_MASTER'!$E$2:$E$137,2024)</f>
        <v>78.98</v>
      </c>
      <c r="D6" s="20">
        <f>SUMIFS('02_MASTER'!$F$2:$F$137,'02_MASTER'!$B$2:$B$137,"BE.ECM.ENT.TRN",'02_MASTER'!$E$2:$E$137,2024)</f>
        <v>29.51</v>
      </c>
    </row>
    <row r="7" spans="1:4">
      <c r="A7" s="4" t="s">
        <v>134</v>
      </c>
      <c r="B7" s="4" t="s">
        <v>644</v>
      </c>
      <c r="C7" s="20">
        <f>SUMIFS('02_MASTER'!$F$2:$F$137,'02_MASTER'!$B$2:$B$137,"BG.ECM.IND.BUY",'02_MASTER'!$E$2:$E$137,2024)</f>
        <v>57.18</v>
      </c>
      <c r="D7" s="20">
        <f>SUMIFS('02_MASTER'!$F$2:$F$137,'02_MASTER'!$B$2:$B$137,"BG.ECM.ENT.TRN",'02_MASTER'!$E$2:$E$137,2024)</f>
        <v>7.63</v>
      </c>
    </row>
    <row r="8" spans="1:4">
      <c r="A8" s="4" t="s">
        <v>137</v>
      </c>
      <c r="B8" s="4" t="s">
        <v>640</v>
      </c>
      <c r="C8" s="20">
        <f>SUMIFS('02_MASTER'!$F$2:$F$137,'02_MASTER'!$B$2:$B$137,"CY.ECM.IND.BUY",'02_MASTER'!$E$2:$E$137,2024)</f>
        <v>68.16</v>
      </c>
      <c r="D8" s="20">
        <f>SUMIFS('02_MASTER'!$F$2:$F$137,'02_MASTER'!$B$2:$B$137,"CY.ECM.ENT.TRN",'02_MASTER'!$E$2:$E$137,2024)</f>
        <v>13.36</v>
      </c>
    </row>
    <row r="9" spans="1:4">
      <c r="A9" s="4" t="s">
        <v>139</v>
      </c>
      <c r="B9" s="4" t="s">
        <v>622</v>
      </c>
      <c r="C9" s="20">
        <f>SUMIFS('02_MASTER'!$F$2:$F$137,'02_MASTER'!$B$2:$B$137,"CZ.ECM.IND.BUY",'02_MASTER'!$E$2:$E$137,2024)</f>
        <v>86.21</v>
      </c>
      <c r="D9" s="20">
        <f>SUMIFS('02_MASTER'!$F$2:$F$137,'02_MASTER'!$B$2:$B$137,"CZ.ECM.ENT.TRN",'02_MASTER'!$E$2:$E$137,2024)</f>
        <v>25.65</v>
      </c>
    </row>
    <row r="10" spans="1:4">
      <c r="A10" s="4" t="s">
        <v>141</v>
      </c>
      <c r="B10" s="4" t="s">
        <v>625</v>
      </c>
      <c r="C10" s="20">
        <f>SUMIFS('02_MASTER'!$F$2:$F$137,'02_MASTER'!$B$2:$B$137,"DE.ECM.IND.BUY",'02_MASTER'!$E$2:$E$137,2024)</f>
        <v>82.53</v>
      </c>
      <c r="D10" s="20">
        <f>SUMIFS('02_MASTER'!$F$2:$F$137,'02_MASTER'!$B$2:$B$137,"DE.ECM.ENT.TRN",'02_MASTER'!$E$2:$E$137,2024)</f>
        <v>19.05</v>
      </c>
    </row>
    <row r="11" spans="1:4">
      <c r="A11" s="4" t="s">
        <v>70</v>
      </c>
      <c r="B11" s="4" t="s">
        <v>620</v>
      </c>
      <c r="C11" s="20">
        <f>SUMIFS('02_MASTER'!$F$2:$F$137,'02_MASTER'!$B$2:$B$137,"DK.ECM.IND.BUY",'02_MASTER'!$E$2:$E$137,2024)</f>
        <v>90.86</v>
      </c>
      <c r="D11" s="20">
        <f>SUMIFS('02_MASTER'!$F$2:$F$137,'02_MASTER'!$B$2:$B$137,"DK.ECM.ENT.TRN",'02_MASTER'!$E$2:$E$137,2024)</f>
        <v>33.31</v>
      </c>
    </row>
    <row r="12" spans="1:4">
      <c r="A12" s="4" t="s">
        <v>149</v>
      </c>
      <c r="B12" s="4" t="s">
        <v>637</v>
      </c>
      <c r="C12" s="20">
        <f>SUMIFS('02_MASTER'!$F$2:$F$137,'02_MASTER'!$B$2:$B$137,"ES.ECM.IND.BUY",'02_MASTER'!$E$2:$E$137,2024)</f>
        <v>71.54</v>
      </c>
      <c r="D12" s="20">
        <f>SUMIFS('02_MASTER'!$F$2:$F$137,'02_MASTER'!$B$2:$B$137,"ES.ECM.ENT.TRN",'02_MASTER'!$E$2:$E$137,2024)</f>
        <v>18.27</v>
      </c>
    </row>
    <row r="13" spans="1:4">
      <c r="A13" s="4" t="s">
        <v>153</v>
      </c>
      <c r="B13" s="4" t="s">
        <v>624</v>
      </c>
      <c r="C13" s="20">
        <f>SUMIFS('02_MASTER'!$F$2:$F$137,'02_MASTER'!$B$2:$B$137,"FR.ECM.IND.BUY",'02_MASTER'!$E$2:$E$137,2024)</f>
        <v>84.37</v>
      </c>
      <c r="D13" s="20">
        <f>SUMIFS('02_MASTER'!$F$2:$F$137,'02_MASTER'!$B$2:$B$137,"FR.ECM.ENT.TRN",'02_MASTER'!$E$2:$E$137,2024)</f>
        <v>14.25</v>
      </c>
    </row>
    <row r="14" spans="1:4">
      <c r="A14" s="4" t="s">
        <v>155</v>
      </c>
      <c r="B14" s="4" t="s">
        <v>638</v>
      </c>
      <c r="C14" s="20">
        <f>SUMIFS('02_MASTER'!$F$2:$F$137,'02_MASTER'!$B$2:$B$137,"HR.ECM.IND.BUY",'02_MASTER'!$E$2:$E$137,2024)</f>
        <v>70.07</v>
      </c>
      <c r="D14" s="20">
        <f>SUMIFS('02_MASTER'!$F$2:$F$137,'02_MASTER'!$B$2:$B$137,"HR.ECM.ENT.TRN",'02_MASTER'!$E$2:$E$137,2024)</f>
        <v>18.48</v>
      </c>
    </row>
    <row r="15" spans="1:4">
      <c r="A15" s="4" t="s">
        <v>157</v>
      </c>
      <c r="B15" s="4" t="s">
        <v>629</v>
      </c>
      <c r="C15" s="20">
        <f>SUMIFS('02_MASTER'!$F$2:$F$137,'02_MASTER'!$B$2:$B$137,"HU.ECM.IND.BUY",'02_MASTER'!$E$2:$E$137,2024)</f>
        <v>78.87</v>
      </c>
      <c r="D15" s="20">
        <f>SUMIFS('02_MASTER'!$F$2:$F$137,'02_MASTER'!$B$2:$B$137,"HU.ECM.ENT.TRN",'02_MASTER'!$E$2:$E$137,2024)</f>
        <v>21.35</v>
      </c>
    </row>
    <row r="16" spans="1:4">
      <c r="A16" s="4" t="s">
        <v>160</v>
      </c>
      <c r="B16" s="4" t="s">
        <v>618</v>
      </c>
      <c r="C16" s="20">
        <f>SUMIFS('02_MASTER'!$F$2:$F$137,'02_MASTER'!$B$2:$B$137,"IE.ECM.IND.BUY",'02_MASTER'!$E$2:$E$137,2024)</f>
        <v>95.79</v>
      </c>
      <c r="D16" s="20">
        <f>SUMIFS('02_MASTER'!$F$2:$F$137,'02_MASTER'!$B$2:$B$137,"IE.ECM.ENT.TRN",'02_MASTER'!$E$2:$E$137,2024)</f>
        <v>38.25</v>
      </c>
    </row>
    <row r="17" spans="1:4">
      <c r="A17" s="4" t="s">
        <v>163</v>
      </c>
      <c r="B17" s="4" t="s">
        <v>643</v>
      </c>
      <c r="C17" s="20">
        <f>SUMIFS('02_MASTER'!$F$2:$F$137,'02_MASTER'!$B$2:$B$137,"IT.ECM.IND.BUY",'02_MASTER'!$E$2:$E$137,2024)</f>
        <v>59.6</v>
      </c>
      <c r="D17" s="20">
        <f>SUMIFS('02_MASTER'!$F$2:$F$137,'02_MASTER'!$B$2:$B$137,"IT.ECM.ENT.TRN",'02_MASTER'!$E$2:$E$137,2024)</f>
        <v>15.66</v>
      </c>
    </row>
    <row r="18" spans="1:4">
      <c r="A18" s="4" t="s">
        <v>169</v>
      </c>
      <c r="B18" s="4" t="s">
        <v>626</v>
      </c>
      <c r="C18" s="20">
        <f>SUMIFS('02_MASTER'!$F$2:$F$137,'02_MASTER'!$B$2:$B$137,"LU.ECM.IND.BUY",'02_MASTER'!$E$2:$E$137,2024)</f>
        <v>81.34</v>
      </c>
      <c r="D18" s="20">
        <f>SUMIFS('02_MASTER'!$F$2:$F$137,'02_MASTER'!$B$2:$B$137,"LU.ECM.ENT.TRN",'02_MASTER'!$E$2:$E$137,2024)</f>
        <v>23.86</v>
      </c>
    </row>
    <row r="19" spans="1:4">
      <c r="A19" s="4" t="s">
        <v>173</v>
      </c>
      <c r="B19" s="4" t="s">
        <v>634</v>
      </c>
      <c r="C19" s="20">
        <f>SUMIFS('02_MASTER'!$F$2:$F$137,'02_MASTER'!$B$2:$B$137,"MT.ECM.IND.BUY",'02_MASTER'!$E$2:$E$137,2024)</f>
        <v>73.2</v>
      </c>
      <c r="D19" s="20">
        <f>SUMIFS('02_MASTER'!$F$2:$F$137,'02_MASTER'!$B$2:$B$137,"MT.ECM.ENT.TRN",'02_MASTER'!$E$2:$E$137,2024)</f>
        <v>15.46</v>
      </c>
    </row>
    <row r="20" spans="1:4">
      <c r="A20" s="4" t="s">
        <v>178</v>
      </c>
      <c r="B20" s="4" t="s">
        <v>631</v>
      </c>
      <c r="C20" s="20">
        <f>SUMIFS('02_MASTER'!$F$2:$F$137,'02_MASTER'!$B$2:$B$137,"PL.ECM.IND.BUY",'02_MASTER'!$E$2:$E$137,2024)</f>
        <v>75.07</v>
      </c>
      <c r="D20" s="20">
        <f>SUMIFS('02_MASTER'!$F$2:$F$137,'02_MASTER'!$B$2:$B$137,"PL.ECM.ENT.TRN",'02_MASTER'!$E$2:$E$137,2024)</f>
        <v>17.66</v>
      </c>
    </row>
    <row r="21" spans="1:4">
      <c r="A21" s="4" t="s">
        <v>185</v>
      </c>
      <c r="B21" s="4" t="s">
        <v>621</v>
      </c>
      <c r="C21" s="20">
        <f>SUMIFS('02_MASTER'!$F$2:$F$137,'02_MASTER'!$B$2:$B$137,"SE.ECM.IND.BUY",'02_MASTER'!$E$2:$E$137,2024)</f>
        <v>89.89</v>
      </c>
      <c r="D21" s="20">
        <f>SUMIFS('02_MASTER'!$F$2:$F$137,'02_MASTER'!$B$2:$B$137,"SE.ECM.ENT.TRN",'02_MASTER'!$E$2:$E$137,2024)</f>
        <v>26.32</v>
      </c>
    </row>
    <row r="22" spans="1:4">
      <c r="A22" s="4" t="s">
        <v>187</v>
      </c>
      <c r="B22" s="4" t="s">
        <v>635</v>
      </c>
      <c r="C22" s="20">
        <f>SUMIFS('02_MASTER'!$F$2:$F$137,'02_MASTER'!$B$2:$B$137,"SI.ECM.IND.BUY",'02_MASTER'!$E$2:$E$137,2024)</f>
        <v>72.39</v>
      </c>
      <c r="D22" s="20">
        <f>SUMIFS('02_MASTER'!$F$2:$F$137,'02_MASTER'!$B$2:$B$137,"SI.ECM.ENT.TRN",'02_MASTER'!$E$2:$E$137,2024)</f>
        <v>16.78</v>
      </c>
    </row>
    <row r="24" spans="1:4">
      <c r="A24" s="6" t="s">
        <v>651</v>
      </c>
    </row>
    <row r="25" spans="1:4">
      <c r="A25" s="3" t="s">
        <v>652</v>
      </c>
      <c r="B25" s="19">
        <f>COUNT('F6_ADOPT_BENEFIT'!$C$5:$C$22)</f>
        <v>18</v>
      </c>
      <c r="C25" s="4" t="s">
        <v>653</v>
      </c>
    </row>
    <row r="26" spans="1:4">
      <c r="A26" s="3" t="s">
        <v>654</v>
      </c>
      <c r="B26" s="20">
        <f>SLOPE('F6_ADOPT_BENEFIT'!$D$5:$D$22,'F6_ADOPT_BENEFIT'!$C$5:$C$22)</f>
        <v>0.60215654374463</v>
      </c>
      <c r="C26" s="4" t="s">
        <v>655</v>
      </c>
    </row>
    <row r="27" spans="1:4">
      <c r="A27" s="3" t="s">
        <v>656</v>
      </c>
      <c r="B27" s="20">
        <f>INTERCEPT('F6_ADOPT_BENEFIT'!$D$5:$D$22,'F6_ADOPT_BENEFIT'!$C$5:$C$22)</f>
        <v>-25.74033843389427</v>
      </c>
      <c r="C27" s="4" t="s">
        <v>555</v>
      </c>
    </row>
    <row r="28" spans="1:4">
      <c r="A28" s="3" t="s">
        <v>657</v>
      </c>
      <c r="B28" s="20">
        <f>RSQ('F6_ADOPT_BENEFIT'!$D$5:$D$22,'F6_ADOPT_BENEFIT'!$C$5:$C$22)</f>
        <v>0.6738398471092222</v>
      </c>
      <c r="C28" s="4" t="s">
        <v>73</v>
      </c>
    </row>
    <row r="30" spans="1:4">
      <c r="A30" s="21" t="s">
        <v>658</v>
      </c>
    </row>
    <row r="31" spans="1:4">
      <c r="A31" s="21" t="s">
        <v>659</v>
      </c>
    </row>
  </sheetData>
  <pageMargins left="0.5" right="0.5" top="0.6" bottom="0.6" header="0.3" footer="0.3"/>
  <pageSetup paperSize="9" fitToHeight="0" orientation="landscape"/>
  <headerFooter>
    <oddFooter>&amp;L&amp;A&amp;C&amp;D&amp;R Page &amp;P of &amp;N</oddFooter>
  </headerFooter>
  <drawing r:id="rId1"/>
</worksheet>
</file>

<file path=xl/worksheets/sheet11.xml><?xml version="1.0" encoding="utf-8"?>
<worksheet xmlns="http://schemas.openxmlformats.org/spreadsheetml/2006/main" xmlns:r="http://schemas.openxmlformats.org/officeDocument/2006/relationships">
  <sheetPr>
    <tabColor rgb="FF7A7A7A"/>
    <pageSetUpPr fitToPage="1"/>
  </sheetPr>
  <dimension ref="A1:G14"/>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12.7109375" customWidth="1"/>
    <col min="2" max="2" width="10.7109375" customWidth="1"/>
    <col min="3" max="3" width="40.7109375" customWidth="1"/>
    <col min="4" max="4" width="28.7109375" customWidth="1"/>
    <col min="5" max="5" width="9.7109375" customWidth="1"/>
    <col min="6" max="6" width="20.7109375" customWidth="1"/>
    <col min="7" max="7" width="70.7109375" customWidth="1"/>
  </cols>
  <sheetData>
    <row r="1" spans="1:7">
      <c r="A1" s="1" t="s">
        <v>660</v>
      </c>
    </row>
    <row r="2" spans="1:7">
      <c r="A2" s="2" t="s">
        <v>661</v>
      </c>
    </row>
    <row r="4" spans="1:7" ht="22" customHeight="1">
      <c r="A4" s="13" t="s">
        <v>662</v>
      </c>
      <c r="B4" s="13" t="s">
        <v>663</v>
      </c>
      <c r="C4" s="13" t="s">
        <v>664</v>
      </c>
      <c r="D4" s="13" t="s">
        <v>665</v>
      </c>
      <c r="E4" s="13" t="s">
        <v>586</v>
      </c>
      <c r="F4" s="13" t="s">
        <v>666</v>
      </c>
      <c r="G4" s="13" t="s">
        <v>667</v>
      </c>
    </row>
    <row r="5" spans="1:7">
      <c r="A5" s="4" t="s">
        <v>668</v>
      </c>
      <c r="B5" s="4" t="s">
        <v>669</v>
      </c>
      <c r="C5" s="14" t="s">
        <v>670</v>
      </c>
      <c r="D5" s="14" t="s">
        <v>671</v>
      </c>
      <c r="E5" s="4" t="s">
        <v>483</v>
      </c>
      <c r="F5" s="4" t="s">
        <v>223</v>
      </c>
      <c r="G5" s="14" t="s">
        <v>672</v>
      </c>
    </row>
    <row r="6" spans="1:7">
      <c r="A6" s="4" t="s">
        <v>673</v>
      </c>
      <c r="B6" s="4" t="s">
        <v>60</v>
      </c>
      <c r="C6" s="14" t="s">
        <v>674</v>
      </c>
      <c r="D6" s="14" t="s">
        <v>675</v>
      </c>
      <c r="E6" s="4" t="s">
        <v>384</v>
      </c>
      <c r="F6" s="4" t="s">
        <v>191</v>
      </c>
      <c r="G6" s="14" t="s">
        <v>676</v>
      </c>
    </row>
    <row r="7" spans="1:7">
      <c r="A7" s="4" t="s">
        <v>677</v>
      </c>
      <c r="B7" s="4" t="s">
        <v>669</v>
      </c>
      <c r="C7" s="14" t="s">
        <v>678</v>
      </c>
      <c r="D7" s="14" t="s">
        <v>675</v>
      </c>
      <c r="E7" s="4" t="s">
        <v>384</v>
      </c>
      <c r="F7" s="4" t="s">
        <v>223</v>
      </c>
      <c r="G7" s="14" t="s">
        <v>679</v>
      </c>
    </row>
    <row r="8" spans="1:7">
      <c r="A8" s="4" t="s">
        <v>680</v>
      </c>
      <c r="B8" s="4" t="s">
        <v>681</v>
      </c>
      <c r="C8" s="14" t="s">
        <v>682</v>
      </c>
      <c r="D8" s="14" t="s">
        <v>683</v>
      </c>
      <c r="E8" s="4" t="s">
        <v>333</v>
      </c>
      <c r="F8" s="4" t="s">
        <v>329</v>
      </c>
      <c r="G8" s="14" t="s">
        <v>684</v>
      </c>
    </row>
    <row r="9" spans="1:7">
      <c r="A9" s="4" t="s">
        <v>685</v>
      </c>
      <c r="B9" s="4" t="s">
        <v>60</v>
      </c>
      <c r="C9" s="14" t="s">
        <v>686</v>
      </c>
      <c r="D9" s="14" t="s">
        <v>687</v>
      </c>
      <c r="E9" s="4" t="s">
        <v>311</v>
      </c>
      <c r="F9" s="4" t="s">
        <v>308</v>
      </c>
      <c r="G9" s="14" t="s">
        <v>688</v>
      </c>
    </row>
    <row r="10" spans="1:7">
      <c r="A10" s="4" t="s">
        <v>689</v>
      </c>
      <c r="B10" s="4" t="s">
        <v>681</v>
      </c>
      <c r="C10" s="14" t="s">
        <v>690</v>
      </c>
      <c r="D10" s="14" t="s">
        <v>691</v>
      </c>
      <c r="E10" s="4" t="s">
        <v>388</v>
      </c>
      <c r="F10" s="4" t="s">
        <v>256</v>
      </c>
      <c r="G10" s="14" t="s">
        <v>692</v>
      </c>
    </row>
    <row r="11" spans="1:7">
      <c r="A11" s="4" t="s">
        <v>693</v>
      </c>
      <c r="B11" s="4" t="s">
        <v>669</v>
      </c>
      <c r="C11" s="14" t="s">
        <v>694</v>
      </c>
      <c r="D11" s="14" t="s">
        <v>492</v>
      </c>
      <c r="E11" s="4" t="s">
        <v>489</v>
      </c>
      <c r="F11" s="4" t="s">
        <v>80</v>
      </c>
      <c r="G11" s="14" t="s">
        <v>695</v>
      </c>
    </row>
    <row r="12" spans="1:7">
      <c r="A12" s="4" t="s">
        <v>696</v>
      </c>
      <c r="B12" s="4" t="s">
        <v>669</v>
      </c>
      <c r="C12" s="14" t="s">
        <v>697</v>
      </c>
      <c r="D12" s="14" t="s">
        <v>691</v>
      </c>
      <c r="E12" s="4" t="s">
        <v>388</v>
      </c>
      <c r="F12" s="4" t="s">
        <v>256</v>
      </c>
      <c r="G12" s="14" t="s">
        <v>698</v>
      </c>
    </row>
    <row r="13" spans="1:7">
      <c r="A13" s="4" t="s">
        <v>699</v>
      </c>
      <c r="B13" s="4" t="s">
        <v>669</v>
      </c>
      <c r="C13" s="14" t="s">
        <v>700</v>
      </c>
      <c r="D13" s="14" t="s">
        <v>691</v>
      </c>
      <c r="E13" s="4" t="s">
        <v>388</v>
      </c>
      <c r="F13" s="4" t="s">
        <v>256</v>
      </c>
      <c r="G13" s="14" t="s">
        <v>701</v>
      </c>
    </row>
    <row r="14" spans="1:7">
      <c r="A14" s="4" t="s">
        <v>702</v>
      </c>
      <c r="B14" s="4" t="s">
        <v>60</v>
      </c>
      <c r="C14" s="14" t="s">
        <v>703</v>
      </c>
      <c r="D14" s="14" t="s">
        <v>507</v>
      </c>
      <c r="E14" s="4" t="s">
        <v>505</v>
      </c>
      <c r="F14" s="4" t="s">
        <v>308</v>
      </c>
      <c r="G14" s="14" t="s">
        <v>704</v>
      </c>
    </row>
  </sheetData>
  <pageMargins left="0.5" right="0.5" top="0.6" bottom="0.6" header="0.3" footer="0.3"/>
  <pageSetup paperSize="9" fitToHeight="0" orientation="landscape"/>
  <headerFooter>
    <oddFooter>&amp;L&amp;A&amp;C&amp;D&amp;R Page &amp;P of &amp;N</oddFooter>
  </headerFooter>
</worksheet>
</file>

<file path=xl/worksheets/sheet12.xml><?xml version="1.0" encoding="utf-8"?>
<worksheet xmlns="http://schemas.openxmlformats.org/spreadsheetml/2006/main" xmlns:r="http://schemas.openxmlformats.org/officeDocument/2006/relationships">
  <sheetPr>
    <tabColor rgb="FFC8912F"/>
    <pageSetUpPr fitToPage="1"/>
  </sheetPr>
  <dimension ref="A1:D55"/>
  <sheetViews>
    <sheetView showGridLines="0" workbookViewId="0"/>
  </sheetViews>
  <sheetFormatPr defaultRowHeight="15"/>
  <cols>
    <col min="1" max="1" width="34.7109375" customWidth="1"/>
    <col min="2" max="3" width="62.7109375" customWidth="1"/>
    <col min="4" max="4" width="52.7109375" customWidth="1"/>
  </cols>
  <sheetData>
    <row r="1" spans="1:2">
      <c r="A1" s="1" t="s">
        <v>705</v>
      </c>
    </row>
    <row r="2" spans="1:2">
      <c r="A2" s="2" t="s">
        <v>706</v>
      </c>
    </row>
    <row r="4" spans="1:2">
      <c r="A4" s="6" t="s">
        <v>707</v>
      </c>
    </row>
    <row r="6" spans="1:2">
      <c r="A6" s="13" t="s">
        <v>708</v>
      </c>
      <c r="B6" s="13" t="s">
        <v>709</v>
      </c>
    </row>
    <row r="7" spans="1:2" ht="123.5" customHeight="1">
      <c r="A7" s="23" t="s">
        <v>710</v>
      </c>
      <c r="B7" s="7" t="s">
        <v>711</v>
      </c>
    </row>
    <row r="8" spans="1:2" ht="164" customHeight="1">
      <c r="A8" s="23" t="s">
        <v>712</v>
      </c>
      <c r="B8" s="7" t="s">
        <v>713</v>
      </c>
    </row>
    <row r="9" spans="1:2" ht="96.5" customHeight="1">
      <c r="A9" s="23" t="s">
        <v>714</v>
      </c>
      <c r="B9" s="7" t="s">
        <v>715</v>
      </c>
    </row>
    <row r="10" spans="1:2" ht="123.5" customHeight="1">
      <c r="A10" s="23" t="s">
        <v>716</v>
      </c>
      <c r="B10" s="7" t="s">
        <v>717</v>
      </c>
    </row>
    <row r="11" spans="1:2" ht="96.5" customHeight="1">
      <c r="A11" s="23" t="s">
        <v>718</v>
      </c>
      <c r="B11" s="7" t="s">
        <v>719</v>
      </c>
    </row>
    <row r="12" spans="1:2" ht="137" customHeight="1">
      <c r="A12" s="23" t="s">
        <v>720</v>
      </c>
      <c r="B12" s="7" t="s">
        <v>721</v>
      </c>
    </row>
    <row r="13" spans="1:2" ht="110" customHeight="1">
      <c r="A13" s="23" t="s">
        <v>722</v>
      </c>
      <c r="B13" s="7" t="s">
        <v>723</v>
      </c>
    </row>
    <row r="14" spans="1:2" ht="83" customHeight="1">
      <c r="A14" s="23" t="s">
        <v>724</v>
      </c>
      <c r="B14" s="7" t="s">
        <v>725</v>
      </c>
    </row>
    <row r="15" spans="1:2" ht="56" customHeight="1">
      <c r="A15" s="23" t="s">
        <v>726</v>
      </c>
      <c r="B15" s="7" t="s">
        <v>727</v>
      </c>
    </row>
    <row r="16" spans="1:2" ht="69.5" customHeight="1">
      <c r="A16" s="23" t="s">
        <v>728</v>
      </c>
      <c r="B16" s="7" t="s">
        <v>729</v>
      </c>
    </row>
    <row r="17" spans="1:2" ht="56" customHeight="1">
      <c r="A17" s="23" t="s">
        <v>730</v>
      </c>
      <c r="B17" s="7" t="s">
        <v>731</v>
      </c>
    </row>
    <row r="18" spans="1:2" ht="56" customHeight="1">
      <c r="A18" s="23" t="s">
        <v>732</v>
      </c>
      <c r="B18" s="7" t="s">
        <v>733</v>
      </c>
    </row>
    <row r="19" spans="1:2" ht="96.5" customHeight="1">
      <c r="A19" s="23" t="s">
        <v>734</v>
      </c>
      <c r="B19" s="7" t="s">
        <v>735</v>
      </c>
    </row>
    <row r="20" spans="1:2" ht="96.5" customHeight="1">
      <c r="A20" s="23" t="s">
        <v>736</v>
      </c>
      <c r="B20" s="7" t="s">
        <v>737</v>
      </c>
    </row>
    <row r="21" spans="1:2" ht="96.5" customHeight="1">
      <c r="A21" s="23" t="s">
        <v>738</v>
      </c>
      <c r="B21" s="7" t="s">
        <v>739</v>
      </c>
    </row>
    <row r="22" spans="1:2" ht="83" customHeight="1">
      <c r="A22" s="23" t="s">
        <v>740</v>
      </c>
      <c r="B22" s="7" t="s">
        <v>741</v>
      </c>
    </row>
    <row r="23" spans="1:2" ht="69.5" customHeight="1">
      <c r="A23" s="23" t="s">
        <v>742</v>
      </c>
      <c r="B23" s="7" t="s">
        <v>743</v>
      </c>
    </row>
    <row r="24" spans="1:2" ht="137" customHeight="1">
      <c r="A24" s="23" t="s">
        <v>744</v>
      </c>
      <c r="B24" s="7" t="s">
        <v>745</v>
      </c>
    </row>
    <row r="27" spans="1:2">
      <c r="A27" s="6" t="s">
        <v>746</v>
      </c>
    </row>
    <row r="28" spans="1:2">
      <c r="A28" s="2" t="s">
        <v>747</v>
      </c>
    </row>
    <row r="29" spans="1:2" ht="15.5" customHeight="1">
      <c r="A29" s="23" t="s">
        <v>748</v>
      </c>
      <c r="B29" s="22" t="s">
        <v>749</v>
      </c>
    </row>
    <row r="30" spans="1:2" ht="15.5" customHeight="1">
      <c r="A30" s="23" t="s">
        <v>750</v>
      </c>
      <c r="B30" s="22" t="s">
        <v>751</v>
      </c>
    </row>
    <row r="31" spans="1:2" ht="29" customHeight="1">
      <c r="A31" s="23" t="s">
        <v>752</v>
      </c>
      <c r="B31" s="22" t="s">
        <v>753</v>
      </c>
    </row>
    <row r="32" spans="1:2" ht="29" customHeight="1">
      <c r="A32" s="23" t="s">
        <v>754</v>
      </c>
      <c r="B32" s="22" t="s">
        <v>755</v>
      </c>
    </row>
    <row r="33" spans="1:4" ht="56" customHeight="1">
      <c r="A33" s="23" t="s">
        <v>756</v>
      </c>
      <c r="B33" s="22" t="s">
        <v>757</v>
      </c>
    </row>
    <row r="34" spans="1:4" ht="29" customHeight="1">
      <c r="A34" s="23" t="s">
        <v>758</v>
      </c>
      <c r="B34" s="22" t="s">
        <v>759</v>
      </c>
    </row>
    <row r="35" spans="1:4" ht="42.5" customHeight="1">
      <c r="A35" s="23" t="s">
        <v>760</v>
      </c>
      <c r="B35" s="22" t="s">
        <v>761</v>
      </c>
    </row>
    <row r="36" spans="1:4" ht="42.5" customHeight="1">
      <c r="A36" s="23" t="s">
        <v>762</v>
      </c>
      <c r="B36" s="22" t="s">
        <v>763</v>
      </c>
    </row>
    <row r="39" spans="1:4">
      <c r="A39" s="6" t="s">
        <v>764</v>
      </c>
    </row>
    <row r="40" spans="1:4">
      <c r="A40" s="2" t="s">
        <v>765</v>
      </c>
    </row>
    <row r="42" spans="1:4">
      <c r="A42" s="13" t="s">
        <v>766</v>
      </c>
      <c r="B42" s="13" t="s">
        <v>767</v>
      </c>
      <c r="C42" s="13" t="s">
        <v>768</v>
      </c>
      <c r="D42" s="13" t="s">
        <v>769</v>
      </c>
    </row>
    <row r="43" spans="1:4" ht="29" customHeight="1">
      <c r="A43" s="23" t="s">
        <v>770</v>
      </c>
      <c r="B43" s="7" t="s">
        <v>771</v>
      </c>
      <c r="C43" s="7" t="s">
        <v>772</v>
      </c>
      <c r="D43" s="7" t="s">
        <v>773</v>
      </c>
    </row>
    <row r="44" spans="1:4" ht="29" customHeight="1">
      <c r="A44" s="23" t="s">
        <v>774</v>
      </c>
      <c r="B44" s="7" t="s">
        <v>775</v>
      </c>
      <c r="C44" s="7" t="s">
        <v>776</v>
      </c>
      <c r="D44" s="7" t="s">
        <v>777</v>
      </c>
    </row>
    <row r="45" spans="1:4" ht="42.5" customHeight="1">
      <c r="A45" s="23" t="s">
        <v>778</v>
      </c>
      <c r="B45" s="7" t="s">
        <v>779</v>
      </c>
      <c r="C45" s="7" t="s">
        <v>780</v>
      </c>
      <c r="D45" s="7" t="s">
        <v>781</v>
      </c>
    </row>
    <row r="46" spans="1:4" ht="56" customHeight="1">
      <c r="A46" s="23" t="s">
        <v>782</v>
      </c>
      <c r="B46" s="7" t="s">
        <v>783</v>
      </c>
      <c r="C46" s="7" t="s">
        <v>784</v>
      </c>
      <c r="D46" s="7" t="s">
        <v>785</v>
      </c>
    </row>
    <row r="47" spans="1:4" ht="56" customHeight="1">
      <c r="A47" s="23" t="s">
        <v>786</v>
      </c>
      <c r="B47" s="7" t="s">
        <v>787</v>
      </c>
      <c r="C47" s="7" t="s">
        <v>788</v>
      </c>
      <c r="D47" s="7" t="s">
        <v>789</v>
      </c>
    </row>
    <row r="48" spans="1:4" ht="69.5" customHeight="1">
      <c r="A48" s="23" t="s">
        <v>790</v>
      </c>
      <c r="B48" s="7" t="s">
        <v>791</v>
      </c>
      <c r="C48" s="7" t="s">
        <v>792</v>
      </c>
      <c r="D48" s="7" t="s">
        <v>793</v>
      </c>
    </row>
    <row r="49" spans="1:4" ht="69.5" customHeight="1">
      <c r="A49" s="23" t="s">
        <v>794</v>
      </c>
      <c r="B49" s="7" t="s">
        <v>795</v>
      </c>
      <c r="C49" s="7" t="s">
        <v>796</v>
      </c>
      <c r="D49" s="7" t="s">
        <v>797</v>
      </c>
    </row>
    <row r="50" spans="1:4" ht="69.5" customHeight="1">
      <c r="A50" s="23" t="s">
        <v>798</v>
      </c>
      <c r="B50" s="7" t="s">
        <v>799</v>
      </c>
      <c r="C50" s="7" t="s">
        <v>800</v>
      </c>
      <c r="D50" s="7" t="s">
        <v>801</v>
      </c>
    </row>
    <row r="51" spans="1:4" ht="69.5" customHeight="1">
      <c r="A51" s="23" t="s">
        <v>802</v>
      </c>
      <c r="B51" s="7" t="s">
        <v>803</v>
      </c>
      <c r="C51" s="7" t="s">
        <v>804</v>
      </c>
      <c r="D51" s="7" t="s">
        <v>805</v>
      </c>
    </row>
    <row r="52" spans="1:4" ht="29" customHeight="1">
      <c r="A52" s="23" t="s">
        <v>806</v>
      </c>
      <c r="B52" s="7" t="s">
        <v>807</v>
      </c>
      <c r="C52" s="7" t="s">
        <v>808</v>
      </c>
      <c r="D52" s="7" t="s">
        <v>809</v>
      </c>
    </row>
    <row r="53" spans="1:4" ht="29" customHeight="1">
      <c r="A53" s="23" t="s">
        <v>810</v>
      </c>
      <c r="B53" s="7" t="s">
        <v>811</v>
      </c>
      <c r="C53" s="7" t="s">
        <v>812</v>
      </c>
      <c r="D53" s="7" t="s">
        <v>813</v>
      </c>
    </row>
    <row r="55" spans="1:4">
      <c r="A55" s="21" t="s">
        <v>814</v>
      </c>
    </row>
  </sheetData>
  <pageMargins left="0.5" right="0.5" top="0.6" bottom="0.6" header="0.3" footer="0.3"/>
  <pageSetup paperSize="9" fitToHeight="0" orientation="landscape"/>
  <headerFooter>
    <oddFooter>&amp;L&amp;A&amp;C&amp;D&amp;R 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6</vt:i4>
      </vt:variant>
    </vt:vector>
  </HeadingPairs>
  <TitlesOfParts>
    <vt:vector size="18" baseType="lpstr">
      <vt:lpstr>00_COVER</vt:lpstr>
      <vt:lpstr>02_MASTER</vt:lpstr>
      <vt:lpstr>03_SOURCES</vt:lpstr>
      <vt:lpstr>04_DEFINITIONS</vt:lpstr>
      <vt:lpstr>05_CALC</vt:lpstr>
      <vt:lpstr>06_SERIES</vt:lpstr>
      <vt:lpstr>F2_PAYMENTS</vt:lpstr>
      <vt:lpstr>F4_EXCLUSION</vt:lpstr>
      <vt:lpstr>F5_EU27</vt:lpstr>
      <vt:lpstr>F6_ADOPT_BENEFIT</vt:lpstr>
      <vt:lpstr>09_POLICY</vt:lpstr>
      <vt:lpstr>07_LIMITATIONS</vt:lpstr>
      <vt:lpstr>'02_MASTER'!Print_Titles</vt:lpstr>
      <vt:lpstr>'03_SOURCES'!Print_Titles</vt:lpstr>
      <vt:lpstr>'04_DEFINITIONS'!Print_Titles</vt:lpstr>
      <vt:lpstr>'05_CALC'!Print_Titles</vt:lpstr>
      <vt:lpstr>'06_SERIES'!Print_Titles</vt:lpstr>
      <vt:lpstr>'09_POLICY'!Print_Titles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Denmark: digital adoption and policy outcomes</dc:title>
  <dc:subject>ECON1596 Assessment 2 data workbook</dc:subject>
  <dc:creator>s4040040</dc:creator>
  <dc:description>Generated by build_workbook.py, v2.0, 2026-09-17.</dc:description>
  <cp:lastModifiedBy>s4040040</cp:lastModifiedBy>
  <dcterms:created xsi:type="dcterms:W3CDTF">2026-09-17T10:09:50Z</dcterms:created>
  <dcterms:modified xsi:type="dcterms:W3CDTF">2026-09-17T10:09:50Z</dcterms:modified>
</cp:coreProperties>
</file>