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README" sheetId="2" state="visible" r:id="rId2"/>
    <sheet xmlns:r="http://schemas.openxmlformats.org/officeDocument/2006/relationships" name="02_MASTER" sheetId="3" state="visible" r:id="rId3"/>
    <sheet xmlns:r="http://schemas.openxmlformats.org/officeDocument/2006/relationships" name="03_SOURCES" sheetId="4" state="visible" r:id="rId4"/>
    <sheet xmlns:r="http://schemas.openxmlformats.org/officeDocument/2006/relationships" name="04_DEFINITIONS" sheetId="5" state="visible" r:id="rId5"/>
    <sheet xmlns:r="http://schemas.openxmlformats.org/officeDocument/2006/relationships" name="05_CALC" sheetId="6" state="visible" r:id="rId6"/>
    <sheet xmlns:r="http://schemas.openxmlformats.org/officeDocument/2006/relationships" name="F1_BRANCHES" sheetId="7" state="visible" r:id="rId7"/>
    <sheet xmlns:r="http://schemas.openxmlformats.org/officeDocument/2006/relationships" name="F2_PAYMENTS" sheetId="8" state="visible" r:id="rId8"/>
    <sheet xmlns:r="http://schemas.openxmlformats.org/officeDocument/2006/relationships" name="F3_ESALES" sheetId="9" state="visible" r:id="rId9"/>
    <sheet xmlns:r="http://schemas.openxmlformats.org/officeDocument/2006/relationships" name="F4_EXCLUSION" sheetId="10" state="visible" r:id="rId10"/>
    <sheet xmlns:r="http://schemas.openxmlformats.org/officeDocument/2006/relationships" name="F5_EU27" sheetId="11" state="visible" r:id="rId11"/>
    <sheet xmlns:r="http://schemas.openxmlformats.org/officeDocument/2006/relationships" name="F6_ADOPT_BENEFIT" sheetId="12" state="visible" r:id="rId12"/>
    <sheet xmlns:r="http://schemas.openxmlformats.org/officeDocument/2006/relationships" name="F7_QUALITY" sheetId="13" state="visible" r:id="rId13"/>
    <sheet xmlns:r="http://schemas.openxmlformats.org/officeDocument/2006/relationships" name="F8_SMVDIGITAL" sheetId="14" state="visible" r:id="rId14"/>
    <sheet xmlns:r="http://schemas.openxmlformats.org/officeDocument/2006/relationships" name="F9_CONSOLIDATION" sheetId="15" state="visible" r:id="rId15"/>
    <sheet xmlns:r="http://schemas.openxmlformats.org/officeDocument/2006/relationships" name="F10_SKILLS" sheetId="16" state="visible" r:id="rId16"/>
    <sheet xmlns:r="http://schemas.openxmlformats.org/officeDocument/2006/relationships" name="06_RETAIL_GAP" sheetId="17" state="visible" r:id="rId17"/>
    <sheet xmlns:r="http://schemas.openxmlformats.org/officeDocument/2006/relationships" name="07_LIMITATIONS" sheetId="18" state="visible" r:id="rId18"/>
    <sheet xmlns:r="http://schemas.openxmlformats.org/officeDocument/2006/relationships" name="08_AI_LOG" sheetId="19" state="visible" r:id="rId19"/>
    <sheet xmlns:r="http://schemas.openxmlformats.org/officeDocument/2006/relationships" name="09_POLICY" sheetId="20" state="visible" r:id="rId20"/>
  </sheets>
  <definedNames>
    <definedName name="_xlnm._FilterDatabase" localSheetId="2" hidden="1">'02_MASTER'!$A$1:$L$114</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plotArea>
      <scatterChart>
        <ser>
          <idx val="0"/>
          <order val="0"/>
          <tx>
            <strRef>
              <f>'F1_BRANCHES'!B4</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Number of branches</a:t>
                </a:r>
              </a:p>
            </rich>
          </tx>
        </title>
        <majorTickMark val="none"/>
        <minorTickMark val="none"/>
        <spPr>
          <a:ln xmlns:a="http://schemas.openxmlformats.org/drawingml/2006/main">
            <a:noFill/>
            <a:prstDash val="solid"/>
          </a:ln>
        </spPr>
        <crossAx val="10"/>
      </valAx>
    </plotArea>
    <plotVisOnly val="1"/>
    <dispBlanksAs val="gap"/>
  </chart>
</chartSpace>
</file>

<file path=xl/charts/chart2.xml><?xml version="1.0" encoding="utf-8"?>
<chartSpace xmlns="http://schemas.openxmlformats.org/drawingml/2006/chart">
  <chart>
    <plotArea>
      <scatterChart>
        <ser>
          <idx val="0"/>
          <order val="0"/>
          <tx>
            <strRef>
              <f>'F2_PAYMENTS'!B5</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ax val="25"/>
          <min val="0"/>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
      </valAx>
    </plotArea>
    <plotVisOnly val="1"/>
    <dispBlanksAs val="gap"/>
  </chart>
</chartSpace>
</file>

<file path=xl/charts/chart3.xml><?xml version="1.0" encoding="utf-8"?>
<chartSpace xmlns="http://schemas.openxmlformats.org/drawingml/2006/chart">
  <chart>
    <plotArea>
      <barChart>
        <barDir val="bar"/>
        <grouping val="clustered"/>
        <ser>
          <idx val="0"/>
          <order val="0"/>
          <tx>
            <strRef>
              <f>'F2_PAYMENTS'!B11</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'F2_PAYMENTS'!$A$12:$A$14</f>
            </numRef>
          </cat>
          <val>
            <numRef>
              <f>'F2_PAYMENTS'!$B$12:$B$14</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4.xml><?xml version="1.0" encoding="utf-8"?>
<chartSpace xmlns="http://schemas.openxmlformats.org/drawingml/2006/chart">
  <chart>
    <plotArea>
      <barChart>
        <barDir val="col"/>
        <grouping val="clustered"/>
        <ser>
          <idx val="0"/>
          <order val="0"/>
          <tx>
            <strRef>
              <f>'F3_ESALES'!B4</f>
            </strRef>
          </tx>
          <spPr>
            <a:solidFill xmlns:a="http://schemas.openxmlformats.org/drawingml/2006/main">
              <a:srgbClr val="2E6DB4"/>
            </a:solidFill>
            <a:ln xmlns:a="http://schemas.openxmlformats.org/drawingml/2006/main">
              <a:noFill/>
              <a:prstDash val="solid"/>
            </a:ln>
          </spPr>
          <cat>
            <numRef>
              <f>'F3_ESALES'!$A$5:$A$6</f>
            </numRef>
          </cat>
          <val>
            <numRef>
              <f>'F3_ESALES'!$B$5:$B$6</f>
            </numRef>
          </val>
        </ser>
        <ser>
          <idx val="1"/>
          <order val="1"/>
          <tx>
            <strRef>
              <f>'F3_ESALES'!C4</f>
            </strRef>
          </tx>
          <spPr>
            <a:solidFill xmlns:a="http://schemas.openxmlformats.org/drawingml/2006/main">
              <a:srgbClr val="8F8F8F"/>
            </a:solidFill>
            <a:ln xmlns:a="http://schemas.openxmlformats.org/drawingml/2006/main">
              <a:noFill/>
              <a:prstDash val="solid"/>
            </a:ln>
          </spPr>
          <cat>
            <numRef>
              <f>'F3_ESALES'!$A$5:$A$6</f>
            </numRef>
          </cat>
          <val>
            <numRef>
              <f>'F3_ESALES'!$C$5:$C$6</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turnover</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5.xml><?xml version="1.0" encoding="utf-8"?>
<chartSpace xmlns="http://schemas.openxmlformats.org/drawingml/2006/chart">
  <chart>
    <plotArea>
      <barChart>
        <barDir val="bar"/>
        <grouping val="clustered"/>
        <ser>
          <idx val="0"/>
          <order val="0"/>
          <tx>
            <strRef>
              <f>'F4_EXCLUSION'!B4</f>
            </strRef>
          </tx>
          <spPr>
            <a:solidFill xmlns:a="http://schemas.openxmlformats.org/drawingml/2006/main">
              <a:srgbClr val="2E6DB4"/>
            </a:solidFill>
            <a:ln xmlns:a="http://schemas.openxmlformats.org/drawingml/2006/main">
              <a:noFill/>
              <a:prstDash val="solid"/>
            </a:ln>
          </spPr>
          <cat>
            <numRef>
              <f>'F4_EXCLUSION'!$A$5:$A$10</f>
            </numRef>
          </cat>
          <val>
            <numRef>
              <f>'F4_EXCLUSION'!$B$5:$B$10</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population</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6.xml><?xml version="1.0" encoding="utf-8"?>
<chartSpace xmlns="http://schemas.openxmlformats.org/drawingml/2006/chart">
  <chart>
    <plotArea>
      <barChart>
        <barDir val="bar"/>
        <grouping val="clustered"/>
        <ser>
          <idx val="0"/>
          <order val="0"/>
          <tx>
            <strRef>
              <f>'F5_EU27'!B4</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dPt>
            <idx val="3"/>
            <spPr>
              <a:solidFill xmlns:a="http://schemas.openxmlformats.org/drawingml/2006/main">
                <a:srgbClr val="8F8F8F"/>
              </a:solidFill>
              <a:ln xmlns:a="http://schemas.openxmlformats.org/drawingml/2006/main">
                <a:noFill/>
                <a:prstDash val="solid"/>
              </a:ln>
            </spPr>
          </dPt>
          <dPt>
            <idx val="4"/>
            <spPr>
              <a:solidFill xmlns:a="http://schemas.openxmlformats.org/drawingml/2006/main">
                <a:srgbClr val="8F8F8F"/>
              </a:solidFill>
              <a:ln xmlns:a="http://schemas.openxmlformats.org/drawingml/2006/main">
                <a:noFill/>
                <a:prstDash val="solid"/>
              </a:ln>
            </spPr>
          </dPt>
          <dPt>
            <idx val="5"/>
            <spPr>
              <a:solidFill xmlns:a="http://schemas.openxmlformats.org/drawingml/2006/main">
                <a:srgbClr val="8F8F8F"/>
              </a:solidFill>
              <a:ln xmlns:a="http://schemas.openxmlformats.org/drawingml/2006/main">
                <a:noFill/>
                <a:prstDash val="solid"/>
              </a:ln>
            </spPr>
          </dPt>
          <dPt>
            <idx val="6"/>
            <spPr>
              <a:solidFill xmlns:a="http://schemas.openxmlformats.org/drawingml/2006/main">
                <a:srgbClr val="8F8F8F"/>
              </a:solidFill>
              <a:ln xmlns:a="http://schemas.openxmlformats.org/drawingml/2006/main">
                <a:noFill/>
                <a:prstDash val="solid"/>
              </a:ln>
            </spPr>
          </dPt>
          <dPt>
            <idx val="7"/>
            <spPr>
              <a:solidFill xmlns:a="http://schemas.openxmlformats.org/drawingml/2006/main">
                <a:srgbClr val="8F8F8F"/>
              </a:solidFill>
              <a:ln xmlns:a="http://schemas.openxmlformats.org/drawingml/2006/main">
                <a:noFill/>
                <a:prstDash val="solid"/>
              </a:ln>
            </spPr>
          </dPt>
          <dPt>
            <idx val="8"/>
            <spPr>
              <a:solidFill xmlns:a="http://schemas.openxmlformats.org/drawingml/2006/main">
                <a:srgbClr val="8F8F8F"/>
              </a:solidFill>
              <a:ln xmlns:a="http://schemas.openxmlformats.org/drawingml/2006/main">
                <a:noFill/>
                <a:prstDash val="solid"/>
              </a:ln>
            </spPr>
          </dPt>
          <dPt>
            <idx val="9"/>
            <spPr>
              <a:solidFill xmlns:a="http://schemas.openxmlformats.org/drawingml/2006/main">
                <a:srgbClr val="8F8F8F"/>
              </a:solidFill>
              <a:ln xmlns:a="http://schemas.openxmlformats.org/drawingml/2006/main">
                <a:noFill/>
                <a:prstDash val="solid"/>
              </a:ln>
            </spPr>
          </dPt>
          <dPt>
            <idx val="10"/>
            <spPr>
              <a:solidFill xmlns:a="http://schemas.openxmlformats.org/drawingml/2006/main">
                <a:srgbClr val="8F8F8F"/>
              </a:solidFill>
              <a:ln xmlns:a="http://schemas.openxmlformats.org/drawingml/2006/main">
                <a:noFill/>
                <a:prstDash val="solid"/>
              </a:ln>
            </spPr>
          </dPt>
          <dPt>
            <idx val="11"/>
            <spPr>
              <a:solidFill xmlns:a="http://schemas.openxmlformats.org/drawingml/2006/main">
                <a:srgbClr val="8F8F8F"/>
              </a:solidFill>
              <a:ln xmlns:a="http://schemas.openxmlformats.org/drawingml/2006/main">
                <a:noFill/>
                <a:prstDash val="solid"/>
              </a:ln>
            </spPr>
          </dPt>
          <dPt>
            <idx val="12"/>
            <spPr>
              <a:solidFill xmlns:a="http://schemas.openxmlformats.org/drawingml/2006/main">
                <a:srgbClr val="8F8F8F"/>
              </a:solidFill>
              <a:ln xmlns:a="http://schemas.openxmlformats.org/drawingml/2006/main">
                <a:noFill/>
                <a:prstDash val="solid"/>
              </a:ln>
            </spPr>
          </dPt>
          <dPt>
            <idx val="13"/>
            <spPr>
              <a:solidFill xmlns:a="http://schemas.openxmlformats.org/drawingml/2006/main">
                <a:srgbClr val="1F3A5F"/>
              </a:solidFill>
              <a:ln xmlns:a="http://schemas.openxmlformats.org/drawingml/2006/main">
                <a:noFill/>
                <a:prstDash val="solid"/>
              </a:ln>
            </spPr>
          </dPt>
          <dPt>
            <idx val="14"/>
            <spPr>
              <a:solidFill xmlns:a="http://schemas.openxmlformats.org/drawingml/2006/main">
                <a:srgbClr val="8F8F8F"/>
              </a:solidFill>
              <a:ln xmlns:a="http://schemas.openxmlformats.org/drawingml/2006/main">
                <a:noFill/>
                <a:prstDash val="solid"/>
              </a:ln>
            </spPr>
          </dPt>
          <dPt>
            <idx val="15"/>
            <spPr>
              <a:solidFill xmlns:a="http://schemas.openxmlformats.org/drawingml/2006/main">
                <a:srgbClr val="8F8F8F"/>
              </a:solidFill>
              <a:ln xmlns:a="http://schemas.openxmlformats.org/drawingml/2006/main">
                <a:noFill/>
                <a:prstDash val="solid"/>
              </a:ln>
            </spPr>
          </dPt>
          <dPt>
            <idx val="16"/>
            <spPr>
              <a:solidFill xmlns:a="http://schemas.openxmlformats.org/drawingml/2006/main">
                <a:srgbClr val="8F8F8F"/>
              </a:solidFill>
              <a:ln xmlns:a="http://schemas.openxmlformats.org/drawingml/2006/main">
                <a:noFill/>
                <a:prstDash val="solid"/>
              </a:ln>
            </spPr>
          </dPt>
          <dPt>
            <idx val="17"/>
            <spPr>
              <a:solidFill xmlns:a="http://schemas.openxmlformats.org/drawingml/2006/main">
                <a:srgbClr val="8F8F8F"/>
              </a:solidFill>
              <a:ln xmlns:a="http://schemas.openxmlformats.org/drawingml/2006/main">
                <a:noFill/>
                <a:prstDash val="solid"/>
              </a:ln>
            </spPr>
          </dPt>
          <dPt>
            <idx val="18"/>
            <spPr>
              <a:solidFill xmlns:a="http://schemas.openxmlformats.org/drawingml/2006/main">
                <a:srgbClr val="8F8F8F"/>
              </a:solidFill>
              <a:ln xmlns:a="http://schemas.openxmlformats.org/drawingml/2006/main">
                <a:noFill/>
                <a:prstDash val="solid"/>
              </a:ln>
            </spPr>
          </dPt>
          <dPt>
            <idx val="19"/>
            <spPr>
              <a:solidFill xmlns:a="http://schemas.openxmlformats.org/drawingml/2006/main">
                <a:srgbClr val="8F8F8F"/>
              </a:solidFill>
              <a:ln xmlns:a="http://schemas.openxmlformats.org/drawingml/2006/main">
                <a:noFill/>
                <a:prstDash val="solid"/>
              </a:ln>
            </spPr>
          </dPt>
          <dPt>
            <idx val="20"/>
            <spPr>
              <a:solidFill xmlns:a="http://schemas.openxmlformats.org/drawingml/2006/main">
                <a:srgbClr val="8F8F8F"/>
              </a:solidFill>
              <a:ln xmlns:a="http://schemas.openxmlformats.org/drawingml/2006/main">
                <a:noFill/>
                <a:prstDash val="solid"/>
              </a:ln>
            </spPr>
          </dPt>
          <dPt>
            <idx val="21"/>
            <spPr>
              <a:solidFill xmlns:a="http://schemas.openxmlformats.org/drawingml/2006/main">
                <a:srgbClr val="8F8F8F"/>
              </a:solidFill>
              <a:ln xmlns:a="http://schemas.openxmlformats.org/drawingml/2006/main">
                <a:noFill/>
                <a:prstDash val="solid"/>
              </a:ln>
            </spPr>
          </dPt>
          <dPt>
            <idx val="22"/>
            <spPr>
              <a:solidFill xmlns:a="http://schemas.openxmlformats.org/drawingml/2006/main">
                <a:srgbClr val="8F8F8F"/>
              </a:solidFill>
              <a:ln xmlns:a="http://schemas.openxmlformats.org/drawingml/2006/main">
                <a:noFill/>
                <a:prstDash val="solid"/>
              </a:ln>
            </spPr>
          </dPt>
          <dPt>
            <idx val="23"/>
            <spPr>
              <a:solidFill xmlns:a="http://schemas.openxmlformats.org/drawingml/2006/main">
                <a:srgbClr val="8F8F8F"/>
              </a:solidFill>
              <a:ln xmlns:a="http://schemas.openxmlformats.org/drawingml/2006/main">
                <a:noFill/>
                <a:prstDash val="solid"/>
              </a:ln>
            </spPr>
          </dPt>
          <dPt>
            <idx val="24"/>
            <spPr>
              <a:solidFill xmlns:a="http://schemas.openxmlformats.org/drawingml/2006/main">
                <a:srgbClr val="8F8F8F"/>
              </a:solidFill>
              <a:ln xmlns:a="http://schemas.openxmlformats.org/drawingml/2006/main">
                <a:noFill/>
                <a:prstDash val="solid"/>
              </a:ln>
            </spPr>
          </dPt>
          <dPt>
            <idx val="25"/>
            <spPr>
              <a:solidFill xmlns:a="http://schemas.openxmlformats.org/drawingml/2006/main">
                <a:srgbClr val="8F8F8F"/>
              </a:solidFill>
              <a:ln xmlns:a="http://schemas.openxmlformats.org/drawingml/2006/main">
                <a:noFill/>
                <a:prstDash val="solid"/>
              </a:ln>
            </spPr>
          </dPt>
          <dPt>
            <idx val="26"/>
            <spPr>
              <a:solidFill xmlns:a="http://schemas.openxmlformats.org/drawingml/2006/main">
                <a:srgbClr val="8F8F8F"/>
              </a:solidFill>
              <a:ln xmlns:a="http://schemas.openxmlformats.org/drawingml/2006/main">
                <a:noFill/>
                <a:prstDash val="solid"/>
              </a:ln>
            </spPr>
          </dPt>
          <dPt>
            <idx val="27"/>
            <spPr>
              <a:solidFill xmlns:a="http://schemas.openxmlformats.org/drawingml/2006/main">
                <a:srgbClr val="8F8F8F"/>
              </a:solidFill>
              <a:ln xmlns:a="http://schemas.openxmlformats.org/drawingml/2006/main">
                <a:noFill/>
                <a:prstDash val="solid"/>
              </a:ln>
            </spPr>
          </dPt>
          <cat>
            <numRef>
              <f>'F5_EU27'!$A$5:$A$32</f>
            </numRef>
          </cat>
          <val>
            <numRef>
              <f>'F5_EU27'!$B$5:$B$32</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internet users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7.xml><?xml version="1.0" encoding="utf-8"?>
<chartSpace xmlns="http://schemas.openxmlformats.org/drawingml/2006/chart">
  <chart>
    <plotArea>
      <scatterChart>
        <ser>
          <idx val="0"/>
          <order val="0"/>
          <tx>
            <strRef>
              <f>'F6_ADOPT_BENEFIT'!D4</f>
            </strRef>
          </tx>
          <spPr>
            <a:ln xmlns:a="http://schemas.openxmlformats.org/drawingml/2006/main">
              <a:noFill/>
              <a:prstDash val="solid"/>
            </a:ln>
          </spPr>
          <marker>
            <symbol val="circle"/>
            <size val="9"/>
            <spPr>
              <a:solidFill xmlns:a="http://schemas.openxmlformats.org/drawingml/2006/main">
                <a:srgbClr val="2E6DB4"/>
              </a:solidFill>
              <a:ln xmlns:a="http://schemas.openxmlformats.org/drawingml/2006/main">
                <a:noFill/>
                <a:prstDash val="solid"/>
              </a:ln>
            </spPr>
          </marker>
          <trendline>
            <spPr>
              <a:ln xmlns:a="http://schemas.openxmlformats.org/drawingml/2006/mai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xmlns:a="http://schemas.openxmlformats.org/drawingml/2006/main"/>
              <a:p xmlns:a="http://schemas.openxmlformats.org/drawingml/2006/main">
                <a:pPr>
                  <a:defRPr/>
                </a:pPr>
                <a:r>
                  <a:t>Individuals who bought online (% of internet users)</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E-sales as % of enterprise turnover</a:t>
                </a:r>
              </a:p>
            </rich>
          </tx>
        </title>
        <majorTickMark val="none"/>
        <minorTickMark val="none"/>
        <spPr>
          <a:ln xmlns:a="http://schemas.openxmlformats.org/drawingml/2006/main">
            <a:noFill/>
            <a:prstDash val="solid"/>
          </a:ln>
        </spPr>
        <crossAx val="10"/>
      </valAx>
    </plotArea>
    <plotVisOnly val="1"/>
    <dispBlanksAs val="gap"/>
  </chart>
</chartSpace>
</file>

<file path=xl/charts/chart8.xml><?xml version="1.0" encoding="utf-8"?>
<chartSpace xmlns="http://schemas.openxmlformats.org/drawingml/2006/chart">
  <chart>
    <plotArea>
      <barChart>
        <barDir val="bar"/>
        <grouping val="clustered"/>
        <ser>
          <idx val="0"/>
          <order val="0"/>
          <tx>
            <strRef>
              <f>'F7_QUALITY'!B4</f>
            </strRef>
          </tx>
          <spPr>
            <a:solidFill xmlns:a="http://schemas.openxmlformats.org/drawingml/2006/main">
              <a:srgbClr val="2E6DB4"/>
            </a:solidFill>
            <a:ln xmlns:a="http://schemas.openxmlformats.org/drawingml/2006/main">
              <a:noFill/>
              <a:prstDash val="solid"/>
            </a:ln>
          </spPr>
          <cat>
            <numRef>
              <f>'F7_QUALITY'!$A$5:$A$8</f>
            </numRef>
          </cat>
          <val>
            <numRef>
              <f>'F7_QUALITY'!$B$5:$B$8</f>
            </numRef>
          </val>
        </ser>
        <ser>
          <idx val="1"/>
          <order val="1"/>
          <tx>
            <strRef>
              <f>'F7_QUALITY'!C4</f>
            </strRef>
          </tx>
          <spPr>
            <a:solidFill xmlns:a="http://schemas.openxmlformats.org/drawingml/2006/main">
              <a:srgbClr val="8F8F8F"/>
            </a:solidFill>
            <a:ln xmlns:a="http://schemas.openxmlformats.org/drawingml/2006/main">
              <a:noFill/>
              <a:prstDash val="solid"/>
            </a:ln>
          </spPr>
          <cat>
            <numRef>
              <f>'F7_QUALITY'!$A$5:$A$8</f>
            </numRef>
          </cat>
          <val>
            <numRef>
              <f>'F7_QUALITY'!$C$5:$C$8</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 or benchmark score</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9.xml><?xml version="1.0" encoding="utf-8"?>
<chartSpace xmlns="http://schemas.openxmlformats.org/drawingml/2006/chart">
  <chart>
    <plotArea>
      <barChart>
        <barDir val="col"/>
        <grouping val="clustered"/>
        <ser>
          <idx val="0"/>
          <order val="0"/>
          <tx>
            <strRef>
              <f>'F7_QUALITY'!B17</f>
            </strRef>
          </tx>
          <spPr>
            <a:solidFill xmlns:a="http://schemas.openxmlformats.org/drawingml/2006/main">
              <a:srgbClr val="2E6DB4"/>
            </a:solidFill>
            <a:ln xmlns:a="http://schemas.openxmlformats.org/drawingml/2006/main">
              <a:noFill/>
              <a:prstDash val="solid"/>
            </a:ln>
          </spPr>
          <dPt>
            <idx val="0"/>
            <spPr>
              <a:solidFill xmlns:a="http://schemas.openxmlformats.org/drawingml/2006/main">
                <a:srgbClr val="8F8F8F"/>
              </a:solidFill>
              <a:ln xmlns:a="http://schemas.openxmlformats.org/drawingml/2006/main">
                <a:prstDash val="solid"/>
              </a:ln>
            </spPr>
          </dPt>
          <cat>
            <numRef>
              <f>'F7_QUALITY'!$A$18:$A$20</f>
            </numRef>
          </cat>
          <val>
            <numRef>
              <f>'F7_QUALITY'!$B$18:$B$20</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enterprises</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0.xml><?xml version="1.0" encoding="utf-8"?>
<chartSpace xmlns="http://schemas.openxmlformats.org/drawingml/2006/chart">
  <chart>
    <plotArea>
      <barChart>
        <barDir val="bar"/>
        <grouping val="clustered"/>
        <ser>
          <idx val="0"/>
          <order val="0"/>
          <tx>
            <strRef>
              <f>'F8_SMVDIGITAL'!B4</f>
            </strRef>
          </tx>
          <spPr>
            <a:solidFill xmlns:a="http://schemas.openxmlformats.org/drawingml/2006/main">
              <a:srgbClr val="2E6DB4"/>
            </a:solidFill>
            <a:ln xmlns:a="http://schemas.openxmlformats.org/drawingml/2006/main">
              <a:noFill/>
              <a:prstDash val="solid"/>
            </a:ln>
          </spPr>
          <cat>
            <numRef>
              <f>'F8_SMVDIGITAL'!$A$5:$A$6</f>
            </numRef>
          </cat>
          <val>
            <numRef>
              <f>'F8_SMVDIGITAL'!$B$5:$B$6</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participating enterprises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1.xml><?xml version="1.0" encoding="utf-8"?>
<chartSpace xmlns="http://schemas.openxmlformats.org/drawingml/2006/chart">
  <chart>
    <plotArea>
      <barChart>
        <barDir val="bar"/>
        <grouping val="clustered"/>
        <ser>
          <idx val="0"/>
          <order val="0"/>
          <tx>
            <strRef>
              <f>'F9_CONSOLIDATION'!H4</f>
            </strRef>
          </tx>
          <spPr>
            <a:solidFill xmlns:a="http://schemas.openxmlformats.org/drawingml/2006/main">
              <a:srgbClr val="1F3A5F"/>
            </a:solidFill>
            <a:ln xmlns:a="http://schemas.openxmlformats.org/drawingml/2006/main">
              <a:noFill/>
              <a:prstDash val="solid"/>
            </a:ln>
          </spPr>
          <dPt>
            <idx val="0"/>
            <spPr>
              <a:solidFill xmlns:a="http://schemas.openxmlformats.org/drawingml/2006/main">
                <a:srgbClr val="1F3A5F"/>
              </a:solidFill>
              <a:ln xmlns:a="http://schemas.openxmlformats.org/drawingml/2006/main">
                <a:noFill/>
                <a:prstDash val="solid"/>
              </a:ln>
            </spPr>
          </dPt>
          <dPt>
            <idx val="1"/>
            <spPr>
              <a:solidFill xmlns:a="http://schemas.openxmlformats.org/drawingml/2006/main">
                <a:srgbClr val="1F3A5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'F9_CONSOLIDATION'!$G$5:$G$7</f>
            </numRef>
          </cat>
          <val>
            <numRef>
              <f>'F9_CONSOLIDATION'!$H$5:$H$7</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Change over the stated period</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2.xml><?xml version="1.0" encoding="utf-8"?>
<chartSpace xmlns="http://schemas.openxmlformats.org/drawingml/2006/chart">
  <chart>
    <plotArea>
      <barChart>
        <barDir val="col"/>
        <grouping val="clustered"/>
        <ser>
          <idx val="0"/>
          <order val="0"/>
          <tx>
            <strRef>
              <f>'F10_SKILLS'!B4</f>
            </strRef>
          </tx>
          <spPr>
            <a:solidFill xmlns:a="http://schemas.openxmlformats.org/drawingml/2006/main">
              <a:srgbClr val="2E6DB4"/>
            </a:solidFill>
            <a:ln xmlns:a="http://schemas.openxmlformats.org/drawingml/2006/main">
              <a:noFill/>
              <a:prstDash val="solid"/>
            </a:ln>
          </spPr>
          <cat>
            <numRef>
              <f>'F10_SKILLS'!$A$5:$A$7</f>
            </numRef>
          </cat>
          <val>
            <numRef>
              <f>'F10_SKILLS'!$B$5:$B$7</f>
            </numRef>
          </val>
        </ser>
        <ser>
          <idx val="1"/>
          <order val="1"/>
          <tx>
            <strRef>
              <f>'F10_SKILLS'!C4</f>
            </strRef>
          </tx>
          <spPr>
            <a:solidFill xmlns:a="http://schemas.openxmlformats.org/drawingml/2006/main">
              <a:srgbClr val="8F8F8F"/>
            </a:solidFill>
            <a:ln xmlns:a="http://schemas.openxmlformats.org/drawingml/2006/main">
              <a:noFill/>
              <a:prstDash val="solid"/>
            </a:ln>
          </spPr>
          <cat>
            <numRef>
              <f>'F10_SKILLS'!$A$5:$A$7</f>
            </numRef>
          </cat>
          <val>
            <numRef>
              <f>'F10_SKILLS'!$C$5:$C$7</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Age band</a:t>
                </a:r>
              </a:p>
            </rich>
          </tx>
        </title>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age group</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8.xml.rels><Relationships xmlns="http://schemas.openxmlformats.org/package/2006/relationships"><Relationship Type="http://schemas.openxmlformats.org/officeDocument/2006/relationships/chart" Target="/xl/charts/chart10.xml" Id="rId1"/></Relationships>
</file>

<file path=xl/drawings/_rels/drawing9.xml.rels><Relationships xmlns="http://schemas.openxmlformats.org/package/2006/relationships"><Relationship Type="http://schemas.openxmlformats.org/officeDocument/2006/relationships/chart" Target="/xl/charts/chart11.xml" Id="rId1"/></Relationships>
</file>

<file path=xl/drawings/_rels/drawing10.xml.rels><Relationships xmlns="http://schemas.openxmlformats.org/package/2006/relationships"><Relationship Type="http://schemas.openxmlformats.org/officeDocument/2006/relationships/chart" Target="/xl/charts/chart12.xml" Id="rId1"/></Relationships>
</file>

<file path=xl/drawings/drawing1.xml><?xml version="1.0" encoding="utf-8"?>
<wsDr xmlns="http://schemas.openxmlformats.org/drawingml/2006/spreadsheetDrawing">
  <oneCellAnchor>
    <from>
      <col>3</col>
      <colOff>0</colOff>
      <row>3</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4</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3</row>
      <rowOff>0</rowOff>
    </from>
    <ext cx="612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26</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4</col>
      <colOff>0</colOff>
      <row>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9</col>
      <colOff>0</colOff>
      <row>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2026-09-13</t>
        </is>
      </c>
    </row>
    <row r="10">
      <c r="A10" s="3" t="inlineStr">
        <is>
          <t>Observations</t>
        </is>
      </c>
      <c r="B10" s="4" t="inlineStr">
        <is>
          <t>113</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2026-09-13.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09_POLICY</t>
        </is>
      </c>
      <c r="B34" s="6" t="inlineStr">
        <is>
          <t>Policy events - dated instruments with legal citations</t>
        </is>
      </c>
    </row>
    <row r="35">
      <c r="A35" s="5" t="inlineStr">
        <is>
          <t>06_RETAIL_GAP</t>
        </is>
      </c>
      <c r="B35" s="6" t="inlineStr">
        <is>
          <t>Documented gap - retail volume index not retrieved</t>
        </is>
      </c>
    </row>
    <row r="36">
      <c r="A36" s="5" t="inlineStr">
        <is>
          <t>07_LIMITATIONS</t>
        </is>
      </c>
      <c r="B36" s="6" t="inlineStr">
        <is>
          <t>Data quality statement - read before citing</t>
        </is>
      </c>
    </row>
    <row r="37">
      <c r="A37" s="5" t="inlineStr">
        <is>
          <t>08_AI_LOG</t>
        </is>
      </c>
      <c r="B37"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is>
          <t>Rounded, from a Eurostat news release. Only the 2024 cross-section is available here unrounded, so this series mixes precisions across years.</t>
        </is>
      </c>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is>
          <t>Rounded, from a Eurostat news release. See the 2020 note on mixed precision.</t>
        </is>
      </c>
    </row>
    <row r="26">
      <c r="A26" s="13" t="n">
        <v>25</v>
      </c>
      <c r="B26" s="14" t="inlineStr">
        <is>
          <t>EU.ECM.IND.BUY</t>
        </is>
      </c>
      <c r="C26" s="15" t="inlineStr">
        <is>
          <t>Individuals who bought online in last 12 months</t>
        </is>
      </c>
      <c r="D26" s="13" t="inlineStr">
        <is>
          <t>EU27</t>
        </is>
      </c>
      <c r="E26" s="13" t="n">
        <v>2024</v>
      </c>
      <c r="F26" s="16" t="n">
        <v>76.58</v>
      </c>
      <c r="G26" s="13" t="inlineStr">
        <is>
          <t>%</t>
        </is>
      </c>
      <c r="H26" s="15" t="inlineStr">
        <is>
          <t>% of internet users</t>
        </is>
      </c>
      <c r="I26" s="13" t="inlineStr"/>
      <c r="J26" s="14" t="inlineStr">
        <is>
          <t>ES7</t>
        </is>
      </c>
      <c r="K26" s="13" t="inlineStr">
        <is>
          <t>2026-09-12</t>
        </is>
      </c>
      <c r="L26" s="15" t="inlineStr"/>
    </row>
    <row r="27">
      <c r="A27" s="13" t="n">
        <v>26</v>
      </c>
      <c r="B27" s="14" t="inlineStr">
        <is>
          <t>AT.ECM.IND.BUY</t>
        </is>
      </c>
      <c r="C27" s="15" t="inlineStr">
        <is>
          <t>Individuals who bought online in last 12 months</t>
        </is>
      </c>
      <c r="D27" s="13" t="inlineStr">
        <is>
          <t>AT</t>
        </is>
      </c>
      <c r="E27" s="13" t="n">
        <v>2024</v>
      </c>
      <c r="F27" s="16" t="n">
        <v>74.18000000000001</v>
      </c>
      <c r="G27" s="13" t="inlineStr">
        <is>
          <t>%</t>
        </is>
      </c>
      <c r="H27" s="15" t="inlineStr">
        <is>
          <t>% of internet users</t>
        </is>
      </c>
      <c r="I27" s="13" t="inlineStr"/>
      <c r="J27" s="14" t="inlineStr">
        <is>
          <t>ES7</t>
        </is>
      </c>
      <c r="K27" s="13" t="inlineStr">
        <is>
          <t>2026-09-12</t>
        </is>
      </c>
      <c r="L27" s="15" t="inlineStr"/>
    </row>
    <row r="28">
      <c r="A28" s="13" t="n">
        <v>27</v>
      </c>
      <c r="B28" s="14" t="inlineStr">
        <is>
          <t>BE.ECM.IND.BUY</t>
        </is>
      </c>
      <c r="C28" s="15" t="inlineStr">
        <is>
          <t>Individuals who bought online in last 12 months</t>
        </is>
      </c>
      <c r="D28" s="13" t="inlineStr">
        <is>
          <t>BE</t>
        </is>
      </c>
      <c r="E28" s="13" t="n">
        <v>2024</v>
      </c>
      <c r="F28" s="16" t="n">
        <v>78.98</v>
      </c>
      <c r="G28" s="13" t="inlineStr">
        <is>
          <t>%</t>
        </is>
      </c>
      <c r="H28" s="15" t="inlineStr">
        <is>
          <t>% of internet users</t>
        </is>
      </c>
      <c r="I28" s="13" t="inlineStr"/>
      <c r="J28" s="14" t="inlineStr">
        <is>
          <t>ES7</t>
        </is>
      </c>
      <c r="K28" s="13" t="inlineStr">
        <is>
          <t>2026-09-12</t>
        </is>
      </c>
      <c r="L28" s="15" t="inlineStr"/>
    </row>
    <row r="29">
      <c r="A29" s="13" t="n">
        <v>28</v>
      </c>
      <c r="B29" s="14" t="inlineStr">
        <is>
          <t>BG.ECM.IND.BUY</t>
        </is>
      </c>
      <c r="C29" s="15" t="inlineStr">
        <is>
          <t>Individuals who bought online in last 12 months</t>
        </is>
      </c>
      <c r="D29" s="13" t="inlineStr">
        <is>
          <t>BG</t>
        </is>
      </c>
      <c r="E29" s="13" t="n">
        <v>2024</v>
      </c>
      <c r="F29" s="16" t="n">
        <v>57.18</v>
      </c>
      <c r="G29" s="13" t="inlineStr">
        <is>
          <t>%</t>
        </is>
      </c>
      <c r="H29" s="15" t="inlineStr">
        <is>
          <t>% of internet users</t>
        </is>
      </c>
      <c r="I29" s="13" t="inlineStr"/>
      <c r="J29" s="14" t="inlineStr">
        <is>
          <t>ES7</t>
        </is>
      </c>
      <c r="K29" s="13" t="inlineStr">
        <is>
          <t>2026-09-12</t>
        </is>
      </c>
      <c r="L29" s="15" t="inlineStr">
        <is>
          <t>Lowest of the 27, as the press release reported. Supersedes the rounded 57%.</t>
        </is>
      </c>
    </row>
    <row r="30">
      <c r="A30" s="13" t="n">
        <v>29</v>
      </c>
      <c r="B30" s="14" t="inlineStr">
        <is>
          <t>CY.ECM.IND.BUY</t>
        </is>
      </c>
      <c r="C30" s="15" t="inlineStr">
        <is>
          <t>Individuals who bought online in last 12 months</t>
        </is>
      </c>
      <c r="D30" s="13" t="inlineStr">
        <is>
          <t>CY</t>
        </is>
      </c>
      <c r="E30" s="13" t="n">
        <v>2024</v>
      </c>
      <c r="F30" s="16" t="n">
        <v>68.16</v>
      </c>
      <c r="G30" s="13" t="inlineStr">
        <is>
          <t>%</t>
        </is>
      </c>
      <c r="H30" s="15" t="inlineStr">
        <is>
          <t>% of internet users</t>
        </is>
      </c>
      <c r="I30" s="13" t="inlineStr"/>
      <c r="J30" s="14" t="inlineStr">
        <is>
          <t>ES7</t>
        </is>
      </c>
      <c r="K30" s="13" t="inlineStr">
        <is>
          <t>2026-09-12</t>
        </is>
      </c>
      <c r="L30" s="15" t="inlineStr"/>
    </row>
    <row r="31">
      <c r="A31" s="13" t="n">
        <v>30</v>
      </c>
      <c r="B31" s="14" t="inlineStr">
        <is>
          <t>CZ.ECM.IND.BUY</t>
        </is>
      </c>
      <c r="C31" s="15" t="inlineStr">
        <is>
          <t>Individuals who bought online in last 12 months</t>
        </is>
      </c>
      <c r="D31" s="13" t="inlineStr">
        <is>
          <t>CZ</t>
        </is>
      </c>
      <c r="E31" s="13" t="n">
        <v>2024</v>
      </c>
      <c r="F31" s="16" t="n">
        <v>86.20999999999999</v>
      </c>
      <c r="G31" s="13" t="inlineStr">
        <is>
          <t>%</t>
        </is>
      </c>
      <c r="H31" s="15" t="inlineStr">
        <is>
          <t>% of internet users</t>
        </is>
      </c>
      <c r="I31" s="13" t="inlineStr"/>
      <c r="J31" s="14" t="inlineStr">
        <is>
          <t>ES7</t>
        </is>
      </c>
      <c r="K31" s="13" t="inlineStr">
        <is>
          <t>2026-09-12</t>
        </is>
      </c>
      <c r="L31" s="15" t="inlineStr"/>
    </row>
    <row r="32">
      <c r="A32" s="13" t="n">
        <v>31</v>
      </c>
      <c r="B32" s="14" t="inlineStr">
        <is>
          <t>DE.ECM.IND.BUY</t>
        </is>
      </c>
      <c r="C32" s="15" t="inlineStr">
        <is>
          <t>Individuals who bought online in last 12 months</t>
        </is>
      </c>
      <c r="D32" s="13" t="inlineStr">
        <is>
          <t>DE</t>
        </is>
      </c>
      <c r="E32" s="13" t="n">
        <v>2024</v>
      </c>
      <c r="F32" s="16" t="n">
        <v>82.53</v>
      </c>
      <c r="G32" s="13" t="inlineStr">
        <is>
          <t>%</t>
        </is>
      </c>
      <c r="H32" s="15" t="inlineStr">
        <is>
          <t>% of internet users</t>
        </is>
      </c>
      <c r="I32" s="13" t="inlineStr"/>
      <c r="J32" s="14" t="inlineStr">
        <is>
          <t>ES7</t>
        </is>
      </c>
      <c r="K32" s="13" t="inlineStr">
        <is>
          <t>2026-09-12</t>
        </is>
      </c>
      <c r="L32" s="15" t="inlineStr">
        <is>
          <t>Supersedes the rounded 83%.</t>
        </is>
      </c>
    </row>
    <row r="33">
      <c r="A33" s="13" t="n">
        <v>32</v>
      </c>
      <c r="B33" s="14" t="inlineStr">
        <is>
          <t>DK.ECM.IND.BUY</t>
        </is>
      </c>
      <c r="C33" s="15" t="inlineStr">
        <is>
          <t>Individuals who bought online in last 12 months</t>
        </is>
      </c>
      <c r="D33" s="13" t="inlineStr">
        <is>
          <t>DK</t>
        </is>
      </c>
      <c r="E33" s="13" t="n">
        <v>2024</v>
      </c>
      <c r="F33" s="16" t="n">
        <v>90.86</v>
      </c>
      <c r="G33" s="13" t="inlineStr">
        <is>
          <t>%</t>
        </is>
      </c>
      <c r="H33" s="15" t="inlineStr">
        <is>
          <t>% of internet users</t>
        </is>
      </c>
      <c r="I33" s="13" t="inlineStr"/>
      <c r="J33" s="14" t="inlineStr">
        <is>
          <t>ES7</t>
        </is>
      </c>
      <c r="K33" s="13" t="inlineStr">
        <is>
          <t>2026-09-12</t>
        </is>
      </c>
      <c r="L33" s="15" t="inlineStr">
        <is>
          <t>Supersedes the rounded 91% taken from the Eurostat press release.</t>
        </is>
      </c>
    </row>
    <row r="34">
      <c r="A34" s="13" t="n">
        <v>33</v>
      </c>
      <c r="B34" s="14" t="inlineStr">
        <is>
          <t>EE.ECM.IND.BUY</t>
        </is>
      </c>
      <c r="C34" s="15" t="inlineStr">
        <is>
          <t>Individuals who bought online in last 12 months</t>
        </is>
      </c>
      <c r="D34" s="13" t="inlineStr">
        <is>
          <t>EE</t>
        </is>
      </c>
      <c r="E34" s="13" t="n">
        <v>2024</v>
      </c>
      <c r="F34" s="16" t="n">
        <v>78.72</v>
      </c>
      <c r="G34" s="13" t="inlineStr">
        <is>
          <t>%</t>
        </is>
      </c>
      <c r="H34" s="15" t="inlineStr">
        <is>
          <t>% of internet users</t>
        </is>
      </c>
      <c r="I34" s="13" t="inlineStr"/>
      <c r="J34" s="14" t="inlineStr">
        <is>
          <t>ES7</t>
        </is>
      </c>
      <c r="K34" s="13" t="inlineStr">
        <is>
          <t>2026-09-12</t>
        </is>
      </c>
      <c r="L34" s="15" t="inlineStr"/>
    </row>
    <row r="35">
      <c r="A35" s="13" t="n">
        <v>34</v>
      </c>
      <c r="B35" s="14" t="inlineStr">
        <is>
          <t>EL.ECM.IND.BUY</t>
        </is>
      </c>
      <c r="C35" s="15" t="inlineStr">
        <is>
          <t>Individuals who bought online in last 12 months</t>
        </is>
      </c>
      <c r="D35" s="13" t="inlineStr">
        <is>
          <t>EL</t>
        </is>
      </c>
      <c r="E35" s="13" t="n">
        <v>2024</v>
      </c>
      <c r="F35" s="16" t="n">
        <v>74.66</v>
      </c>
      <c r="G35" s="13" t="inlineStr">
        <is>
          <t>%</t>
        </is>
      </c>
      <c r="H35" s="15" t="inlineStr">
        <is>
          <t>% of internet users</t>
        </is>
      </c>
      <c r="I35" s="13" t="inlineStr"/>
      <c r="J35" s="14" t="inlineStr">
        <is>
          <t>ES7</t>
        </is>
      </c>
      <c r="K35" s="13" t="inlineStr">
        <is>
          <t>2026-09-12</t>
        </is>
      </c>
      <c r="L35" s="15" t="inlineStr"/>
    </row>
    <row r="36">
      <c r="A36" s="13" t="n">
        <v>35</v>
      </c>
      <c r="B36" s="14" t="inlineStr">
        <is>
          <t>ES.ECM.IND.BUY</t>
        </is>
      </c>
      <c r="C36" s="15" t="inlineStr">
        <is>
          <t>Individuals who bought online in last 12 months</t>
        </is>
      </c>
      <c r="D36" s="13" t="inlineStr">
        <is>
          <t>ES</t>
        </is>
      </c>
      <c r="E36" s="13" t="n">
        <v>2024</v>
      </c>
      <c r="F36" s="16" t="n">
        <v>71.54000000000001</v>
      </c>
      <c r="G36" s="13" t="inlineStr">
        <is>
          <t>%</t>
        </is>
      </c>
      <c r="H36" s="15" t="inlineStr">
        <is>
          <t>% of internet users</t>
        </is>
      </c>
      <c r="I36" s="13" t="inlineStr"/>
      <c r="J36" s="14" t="inlineStr">
        <is>
          <t>ES7</t>
        </is>
      </c>
      <c r="K36" s="13" t="inlineStr">
        <is>
          <t>2026-09-12</t>
        </is>
      </c>
      <c r="L36" s="15" t="inlineStr"/>
    </row>
    <row r="37">
      <c r="A37" s="13" t="n">
        <v>36</v>
      </c>
      <c r="B37" s="14" t="inlineStr">
        <is>
          <t>FI.ECM.IND.BUY</t>
        </is>
      </c>
      <c r="C37" s="15" t="inlineStr">
        <is>
          <t>Individuals who bought online in last 12 months</t>
        </is>
      </c>
      <c r="D37" s="13" t="inlineStr">
        <is>
          <t>FI</t>
        </is>
      </c>
      <c r="E37" s="13" t="n">
        <v>2024</v>
      </c>
      <c r="F37" s="16" t="n">
        <v>80.40000000000001</v>
      </c>
      <c r="G37" s="13" t="inlineStr">
        <is>
          <t>%</t>
        </is>
      </c>
      <c r="H37" s="15" t="inlineStr">
        <is>
          <t>% of internet users</t>
        </is>
      </c>
      <c r="I37" s="13" t="inlineStr"/>
      <c r="J37" s="14" t="inlineStr">
        <is>
          <t>ES7</t>
        </is>
      </c>
      <c r="K37" s="13" t="inlineStr">
        <is>
          <t>2026-09-12</t>
        </is>
      </c>
      <c r="L37" s="15" t="inlineStr"/>
    </row>
    <row r="38">
      <c r="A38" s="13" t="n">
        <v>37</v>
      </c>
      <c r="B38" s="14" t="inlineStr">
        <is>
          <t>FR.ECM.IND.BUY</t>
        </is>
      </c>
      <c r="C38" s="15" t="inlineStr">
        <is>
          <t>Individuals who bought online in last 12 months</t>
        </is>
      </c>
      <c r="D38" s="13" t="inlineStr">
        <is>
          <t>FR</t>
        </is>
      </c>
      <c r="E38" s="13" t="n">
        <v>2024</v>
      </c>
      <c r="F38" s="16" t="n">
        <v>84.37</v>
      </c>
      <c r="G38" s="13" t="inlineStr">
        <is>
          <t>%</t>
        </is>
      </c>
      <c r="H38" s="15" t="inlineStr">
        <is>
          <t>% of internet users</t>
        </is>
      </c>
      <c r="I38" s="13" t="inlineStr"/>
      <c r="J38" s="14" t="inlineStr">
        <is>
          <t>ES7</t>
        </is>
      </c>
      <c r="K38" s="13" t="inlineStr">
        <is>
          <t>2026-09-12</t>
        </is>
      </c>
      <c r="L38" s="15" t="inlineStr"/>
    </row>
    <row r="39">
      <c r="A39" s="13" t="n">
        <v>38</v>
      </c>
      <c r="B39" s="14" t="inlineStr">
        <is>
          <t>HR.ECM.IND.BUY</t>
        </is>
      </c>
      <c r="C39" s="15" t="inlineStr">
        <is>
          <t>Individuals who bought online in last 12 months</t>
        </is>
      </c>
      <c r="D39" s="13" t="inlineStr">
        <is>
          <t>HR</t>
        </is>
      </c>
      <c r="E39" s="13" t="n">
        <v>2024</v>
      </c>
      <c r="F39" s="16" t="n">
        <v>70.06999999999999</v>
      </c>
      <c r="G39" s="13" t="inlineStr">
        <is>
          <t>%</t>
        </is>
      </c>
      <c r="H39" s="15" t="inlineStr">
        <is>
          <t>% of internet users</t>
        </is>
      </c>
      <c r="I39" s="13" t="inlineStr"/>
      <c r="J39" s="14" t="inlineStr">
        <is>
          <t>ES7</t>
        </is>
      </c>
      <c r="K39" s="13" t="inlineStr">
        <is>
          <t>2026-09-12</t>
        </is>
      </c>
      <c r="L39" s="15" t="inlineStr"/>
    </row>
    <row r="40">
      <c r="A40" s="13" t="n">
        <v>39</v>
      </c>
      <c r="B40" s="14" t="inlineStr">
        <is>
          <t>HU.ECM.IND.BUY</t>
        </is>
      </c>
      <c r="C40" s="15" t="inlineStr">
        <is>
          <t>Individuals who bought online in last 12 months</t>
        </is>
      </c>
      <c r="D40" s="13" t="inlineStr">
        <is>
          <t>HU</t>
        </is>
      </c>
      <c r="E40" s="13" t="n">
        <v>2024</v>
      </c>
      <c r="F40" s="16" t="n">
        <v>78.87</v>
      </c>
      <c r="G40" s="13" t="inlineStr">
        <is>
          <t>%</t>
        </is>
      </c>
      <c r="H40" s="15" t="inlineStr">
        <is>
          <t>% of internet users</t>
        </is>
      </c>
      <c r="I40" s="13" t="inlineStr"/>
      <c r="J40" s="14" t="inlineStr">
        <is>
          <t>ES7</t>
        </is>
      </c>
      <c r="K40" s="13" t="inlineStr">
        <is>
          <t>2026-09-12</t>
        </is>
      </c>
      <c r="L40" s="15" t="inlineStr">
        <is>
          <t>Supersedes the rounded 79%.</t>
        </is>
      </c>
    </row>
    <row r="41">
      <c r="A41" s="13" t="n">
        <v>40</v>
      </c>
      <c r="B41" s="14" t="inlineStr">
        <is>
          <t>IE.ECM.IND.BUY</t>
        </is>
      </c>
      <c r="C41" s="15" t="inlineStr">
        <is>
          <t>Individuals who bought online in last 12 months</t>
        </is>
      </c>
      <c r="D41" s="13" t="inlineStr">
        <is>
          <t>IE</t>
        </is>
      </c>
      <c r="E41" s="13" t="n">
        <v>2024</v>
      </c>
      <c r="F41" s="16" t="n">
        <v>95.79000000000001</v>
      </c>
      <c r="G41" s="13" t="inlineStr">
        <is>
          <t>%</t>
        </is>
      </c>
      <c r="H41" s="15" t="inlineStr">
        <is>
          <t>% of internet users</t>
        </is>
      </c>
      <c r="I41" s="13" t="inlineStr"/>
      <c r="J41" s="14" t="inlineStr">
        <is>
          <t>ES7</t>
        </is>
      </c>
      <c r="K41" s="13" t="inlineStr">
        <is>
          <t>2026-09-12</t>
        </is>
      </c>
      <c r="L41" s="15" t="inlineStr">
        <is>
          <t>Highest in EU. Supersedes the rounded 96%.</t>
        </is>
      </c>
    </row>
    <row r="42">
      <c r="A42" s="13" t="n">
        <v>41</v>
      </c>
      <c r="B42" s="14" t="inlineStr">
        <is>
          <t>IT.ECM.IND.BUY</t>
        </is>
      </c>
      <c r="C42" s="15" t="inlineStr">
        <is>
          <t>Individuals who bought online in last 12 months</t>
        </is>
      </c>
      <c r="D42" s="13" t="inlineStr">
        <is>
          <t>IT</t>
        </is>
      </c>
      <c r="E42" s="13" t="n">
        <v>2024</v>
      </c>
      <c r="F42" s="16" t="n">
        <v>59.6</v>
      </c>
      <c r="G42" s="13" t="inlineStr">
        <is>
          <t>%</t>
        </is>
      </c>
      <c r="H42" s="15" t="inlineStr">
        <is>
          <t>% of internet users</t>
        </is>
      </c>
      <c r="I42" s="13" t="inlineStr"/>
      <c r="J42" s="14" t="inlineStr">
        <is>
          <t>ES7</t>
        </is>
      </c>
      <c r="K42" s="13" t="inlineStr">
        <is>
          <t>2026-09-12</t>
        </is>
      </c>
      <c r="L42" s="15" t="inlineStr">
        <is>
          <t>Second lowest of the 27. Supersedes the rounded 60%, which tied Italy with Romania; unrounded Italy is below Romania, so they are not tied.</t>
        </is>
      </c>
    </row>
    <row r="43">
      <c r="A43" s="13" t="n">
        <v>42</v>
      </c>
      <c r="B43" s="14" t="inlineStr">
        <is>
          <t>LT.ECM.IND.BUY</t>
        </is>
      </c>
      <c r="C43" s="15" t="inlineStr">
        <is>
          <t>Individuals who bought online in last 12 months</t>
        </is>
      </c>
      <c r="D43" s="13" t="inlineStr">
        <is>
          <t>LT</t>
        </is>
      </c>
      <c r="E43" s="13" t="n">
        <v>2024</v>
      </c>
      <c r="F43" s="16" t="n">
        <v>71.95999999999999</v>
      </c>
      <c r="G43" s="13" t="inlineStr">
        <is>
          <t>%</t>
        </is>
      </c>
      <c r="H43" s="15" t="inlineStr">
        <is>
          <t>% of internet users</t>
        </is>
      </c>
      <c r="I43" s="13" t="inlineStr"/>
      <c r="J43" s="14" t="inlineStr">
        <is>
          <t>ES7</t>
        </is>
      </c>
      <c r="K43" s="13" t="inlineStr">
        <is>
          <t>2026-09-12</t>
        </is>
      </c>
      <c r="L43" s="15" t="inlineStr">
        <is>
          <t>Supersedes the rounded 72%.</t>
        </is>
      </c>
    </row>
    <row r="44">
      <c r="A44" s="13" t="n">
        <v>43</v>
      </c>
      <c r="B44" s="14" t="inlineStr">
        <is>
          <t>LU.ECM.IND.BUY</t>
        </is>
      </c>
      <c r="C44" s="15" t="inlineStr">
        <is>
          <t>Individuals who bought online in last 12 months</t>
        </is>
      </c>
      <c r="D44" s="13" t="inlineStr">
        <is>
          <t>LU</t>
        </is>
      </c>
      <c r="E44" s="13" t="n">
        <v>2024</v>
      </c>
      <c r="F44" s="16" t="n">
        <v>81.34</v>
      </c>
      <c r="G44" s="13" t="inlineStr">
        <is>
          <t>%</t>
        </is>
      </c>
      <c r="H44" s="15" t="inlineStr">
        <is>
          <t>% of internet users</t>
        </is>
      </c>
      <c r="I44" s="13" t="inlineStr"/>
      <c r="J44" s="14" t="inlineStr">
        <is>
          <t>ES7</t>
        </is>
      </c>
      <c r="K44" s="13" t="inlineStr">
        <is>
          <t>2026-09-12</t>
        </is>
      </c>
      <c r="L44" s="15" t="inlineStr"/>
    </row>
    <row r="45">
      <c r="A45" s="13" t="n">
        <v>44</v>
      </c>
      <c r="B45" s="14" t="inlineStr">
        <is>
          <t>LV.ECM.IND.BUY</t>
        </is>
      </c>
      <c r="C45" s="15" t="inlineStr">
        <is>
          <t>Individuals who bought online in last 12 months</t>
        </is>
      </c>
      <c r="D45" s="13" t="inlineStr">
        <is>
          <t>LV</t>
        </is>
      </c>
      <c r="E45" s="13" t="n">
        <v>2024</v>
      </c>
      <c r="F45" s="16" t="n">
        <v>69.34999999999999</v>
      </c>
      <c r="G45" s="13" t="inlineStr">
        <is>
          <t>%</t>
        </is>
      </c>
      <c r="H45" s="15" t="inlineStr">
        <is>
          <t>% of internet users</t>
        </is>
      </c>
      <c r="I45" s="13" t="inlineStr"/>
      <c r="J45" s="14" t="inlineStr">
        <is>
          <t>ES7</t>
        </is>
      </c>
      <c r="K45" s="13" t="inlineStr">
        <is>
          <t>2026-09-12</t>
        </is>
      </c>
      <c r="L45" s="15" t="inlineStr"/>
    </row>
    <row r="46">
      <c r="A46" s="13" t="n">
        <v>45</v>
      </c>
      <c r="B46" s="14" t="inlineStr">
        <is>
          <t>MT.ECM.IND.BUY</t>
        </is>
      </c>
      <c r="C46" s="15" t="inlineStr">
        <is>
          <t>Individuals who bought online in last 12 months</t>
        </is>
      </c>
      <c r="D46" s="13" t="inlineStr">
        <is>
          <t>MT</t>
        </is>
      </c>
      <c r="E46" s="13" t="n">
        <v>2024</v>
      </c>
      <c r="F46" s="16" t="n">
        <v>73.2</v>
      </c>
      <c r="G46" s="13" t="inlineStr">
        <is>
          <t>%</t>
        </is>
      </c>
      <c r="H46" s="15" t="inlineStr">
        <is>
          <t>% of internet users</t>
        </is>
      </c>
      <c r="I46" s="13" t="inlineStr"/>
      <c r="J46" s="14" t="inlineStr">
        <is>
          <t>ES7</t>
        </is>
      </c>
      <c r="K46" s="13" t="inlineStr">
        <is>
          <t>2026-09-12</t>
        </is>
      </c>
      <c r="L46" s="15" t="inlineStr"/>
    </row>
    <row r="47">
      <c r="A47" s="13" t="n">
        <v>46</v>
      </c>
      <c r="B47" s="14" t="inlineStr">
        <is>
          <t>NL.ECM.IND.BUY</t>
        </is>
      </c>
      <c r="C47" s="15" t="inlineStr">
        <is>
          <t>Individuals who bought online in last 12 months</t>
        </is>
      </c>
      <c r="D47" s="13" t="inlineStr">
        <is>
          <t>NL</t>
        </is>
      </c>
      <c r="E47" s="13" t="n">
        <v>2024</v>
      </c>
      <c r="F47" s="16" t="n">
        <v>94.42</v>
      </c>
      <c r="G47" s="13" t="inlineStr">
        <is>
          <t>%</t>
        </is>
      </c>
      <c r="H47" s="15" t="inlineStr">
        <is>
          <t>% of internet users</t>
        </is>
      </c>
      <c r="I47" s="13" t="inlineStr"/>
      <c r="J47" s="14" t="inlineStr">
        <is>
          <t>ES7</t>
        </is>
      </c>
      <c r="K47" s="13" t="inlineStr">
        <is>
          <t>2026-09-12</t>
        </is>
      </c>
      <c r="L47" s="15" t="inlineStr">
        <is>
          <t>Supersedes the rounded 94%.</t>
        </is>
      </c>
    </row>
    <row r="48">
      <c r="A48" s="13" t="n">
        <v>47</v>
      </c>
      <c r="B48" s="14" t="inlineStr">
        <is>
          <t>PL.ECM.IND.BUY</t>
        </is>
      </c>
      <c r="C48" s="15" t="inlineStr">
        <is>
          <t>Individuals who bought online in last 12 months</t>
        </is>
      </c>
      <c r="D48" s="13" t="inlineStr">
        <is>
          <t>PL</t>
        </is>
      </c>
      <c r="E48" s="13" t="n">
        <v>2024</v>
      </c>
      <c r="F48" s="16" t="n">
        <v>75.06999999999999</v>
      </c>
      <c r="G48" s="13" t="inlineStr">
        <is>
          <t>%</t>
        </is>
      </c>
      <c r="H48" s="15" t="inlineStr">
        <is>
          <t>% of internet users</t>
        </is>
      </c>
      <c r="I48" s="13" t="inlineStr"/>
      <c r="J48" s="14" t="inlineStr">
        <is>
          <t>ES7</t>
        </is>
      </c>
      <c r="K48" s="13" t="inlineStr">
        <is>
          <t>2026-09-12</t>
        </is>
      </c>
      <c r="L48" s="15" t="inlineStr"/>
    </row>
    <row r="49">
      <c r="A49" s="13" t="n">
        <v>48</v>
      </c>
      <c r="B49" s="14" t="inlineStr">
        <is>
          <t>PT.ECM.IND.BUY</t>
        </is>
      </c>
      <c r="C49" s="15" t="inlineStr">
        <is>
          <t>Individuals who bought online in last 12 months</t>
        </is>
      </c>
      <c r="D49" s="13" t="inlineStr">
        <is>
          <t>PT</t>
        </is>
      </c>
      <c r="E49" s="13" t="n">
        <v>2024</v>
      </c>
      <c r="F49" s="16" t="n">
        <v>66.64</v>
      </c>
      <c r="G49" s="13" t="inlineStr">
        <is>
          <t>%</t>
        </is>
      </c>
      <c r="H49" s="15" t="inlineStr">
        <is>
          <t>% of internet users</t>
        </is>
      </c>
      <c r="I49" s="13" t="inlineStr"/>
      <c r="J49" s="14" t="inlineStr">
        <is>
          <t>ES7</t>
        </is>
      </c>
      <c r="K49" s="13" t="inlineStr">
        <is>
          <t>2026-09-12</t>
        </is>
      </c>
      <c r="L49" s="15" t="inlineStr"/>
    </row>
    <row r="50">
      <c r="A50" s="13" t="n">
        <v>49</v>
      </c>
      <c r="B50" s="14" t="inlineStr">
        <is>
          <t>RO.ECM.IND.BUY</t>
        </is>
      </c>
      <c r="C50" s="15" t="inlineStr">
        <is>
          <t>Individuals who bought online in last 12 months</t>
        </is>
      </c>
      <c r="D50" s="13" t="inlineStr">
        <is>
          <t>RO</t>
        </is>
      </c>
      <c r="E50" s="13" t="n">
        <v>2024</v>
      </c>
      <c r="F50" s="16" t="n">
        <v>59.73</v>
      </c>
      <c r="G50" s="13" t="inlineStr">
        <is>
          <t>%</t>
        </is>
      </c>
      <c r="H50" s="15" t="inlineStr">
        <is>
          <t>% of internet users</t>
        </is>
      </c>
      <c r="I50" s="13" t="inlineStr"/>
      <c r="J50" s="14" t="inlineStr">
        <is>
          <t>ES7</t>
        </is>
      </c>
      <c r="K50" s="13" t="inlineStr">
        <is>
          <t>2026-09-12</t>
        </is>
      </c>
      <c r="L50" s="15" t="inlineStr">
        <is>
          <t>Supersedes the rounded 60%. See the Italy note on the tie.</t>
        </is>
      </c>
    </row>
    <row r="51">
      <c r="A51" s="13" t="n">
        <v>50</v>
      </c>
      <c r="B51" s="14" t="inlineStr">
        <is>
          <t>SE.ECM.IND.BUY</t>
        </is>
      </c>
      <c r="C51" s="15" t="inlineStr">
        <is>
          <t>Individuals who bought online in last 12 months</t>
        </is>
      </c>
      <c r="D51" s="13" t="inlineStr">
        <is>
          <t>SE</t>
        </is>
      </c>
      <c r="E51" s="13" t="n">
        <v>2024</v>
      </c>
      <c r="F51" s="16" t="n">
        <v>89.89</v>
      </c>
      <c r="G51" s="13" t="inlineStr">
        <is>
          <t>%</t>
        </is>
      </c>
      <c r="H51" s="15" t="inlineStr">
        <is>
          <t>% of internet users</t>
        </is>
      </c>
      <c r="I51" s="13" t="inlineStr"/>
      <c r="J51" s="14" t="inlineStr">
        <is>
          <t>ES7</t>
        </is>
      </c>
      <c r="K51" s="13" t="inlineStr">
        <is>
          <t>2026-09-12</t>
        </is>
      </c>
      <c r="L51" s="15" t="inlineStr"/>
    </row>
    <row r="52">
      <c r="A52" s="13" t="n">
        <v>51</v>
      </c>
      <c r="B52" s="14" t="inlineStr">
        <is>
          <t>SI.ECM.IND.BUY</t>
        </is>
      </c>
      <c r="C52" s="15" t="inlineStr">
        <is>
          <t>Individuals who bought online in last 12 months</t>
        </is>
      </c>
      <c r="D52" s="13" t="inlineStr">
        <is>
          <t>SI</t>
        </is>
      </c>
      <c r="E52" s="13" t="n">
        <v>2024</v>
      </c>
      <c r="F52" s="16" t="n">
        <v>72.39</v>
      </c>
      <c r="G52" s="13" t="inlineStr">
        <is>
          <t>%</t>
        </is>
      </c>
      <c r="H52" s="15" t="inlineStr">
        <is>
          <t>% of internet users</t>
        </is>
      </c>
      <c r="I52" s="13" t="inlineStr"/>
      <c r="J52" s="14" t="inlineStr">
        <is>
          <t>ES7</t>
        </is>
      </c>
      <c r="K52" s="13" t="inlineStr">
        <is>
          <t>2026-09-12</t>
        </is>
      </c>
      <c r="L52" s="15" t="inlineStr"/>
    </row>
    <row r="53">
      <c r="A53" s="13" t="n">
        <v>52</v>
      </c>
      <c r="B53" s="14" t="inlineStr">
        <is>
          <t>SK.ECM.IND.BUY</t>
        </is>
      </c>
      <c r="C53" s="15" t="inlineStr">
        <is>
          <t>Individuals who bought online in last 12 months</t>
        </is>
      </c>
      <c r="D53" s="13" t="inlineStr">
        <is>
          <t>SK</t>
        </is>
      </c>
      <c r="E53" s="13" t="n">
        <v>2024</v>
      </c>
      <c r="F53" s="16" t="n">
        <v>85.13</v>
      </c>
      <c r="G53" s="13" t="inlineStr">
        <is>
          <t>%</t>
        </is>
      </c>
      <c r="H53" s="15" t="inlineStr">
        <is>
          <t>% of internet users</t>
        </is>
      </c>
      <c r="I53" s="13" t="inlineStr"/>
      <c r="J53" s="14" t="inlineStr">
        <is>
          <t>ES7</t>
        </is>
      </c>
      <c r="K53" s="13" t="inlineStr">
        <is>
          <t>2026-09-12</t>
        </is>
      </c>
      <c r="L53" s="15" t="inlineStr"/>
    </row>
    <row r="54">
      <c r="A54" s="13" t="n">
        <v>53</v>
      </c>
      <c r="B54" s="14" t="inlineStr">
        <is>
          <t>EU.ECM.IND.BUY</t>
        </is>
      </c>
      <c r="C54" s="15" t="inlineStr">
        <is>
          <t>Individuals who bought online in last 12 months</t>
        </is>
      </c>
      <c r="D54" s="13" t="inlineStr">
        <is>
          <t>EU27</t>
        </is>
      </c>
      <c r="E54" s="13" t="n">
        <v>2014</v>
      </c>
      <c r="F54" s="16" t="n">
        <v>59</v>
      </c>
      <c r="G54" s="13" t="inlineStr">
        <is>
          <t>%</t>
        </is>
      </c>
      <c r="H54" s="15" t="inlineStr">
        <is>
          <t>% of internet users</t>
        </is>
      </c>
      <c r="I54" s="13" t="inlineStr"/>
      <c r="J54" s="14" t="inlineStr">
        <is>
          <t>ES4</t>
        </is>
      </c>
      <c r="K54" s="13" t="inlineStr">
        <is>
          <t>2026-09-12</t>
        </is>
      </c>
      <c r="L54" s="15" t="inlineStr"/>
    </row>
    <row r="55">
      <c r="A55" s="13" t="n">
        <v>54</v>
      </c>
      <c r="B55" s="14" t="inlineStr">
        <is>
          <t>DK.ECM.ENT.TRN</t>
        </is>
      </c>
      <c r="C55" s="15" t="inlineStr">
        <is>
          <t>E-sales as share of enterprise turnover</t>
        </is>
      </c>
      <c r="D55" s="13" t="inlineStr">
        <is>
          <t>DK</t>
        </is>
      </c>
      <c r="E55" s="13" t="n">
        <v>2014</v>
      </c>
      <c r="F55" s="16" t="n">
        <v>17.05</v>
      </c>
      <c r="G55" s="13" t="inlineStr">
        <is>
          <t>%</t>
        </is>
      </c>
      <c r="H55" s="15" t="inlineStr">
        <is>
          <t>% of total enterprise turnover</t>
        </is>
      </c>
      <c r="I55" s="13" t="inlineStr"/>
      <c r="J55" s="14" t="inlineStr">
        <is>
          <t>ES5</t>
        </is>
      </c>
      <c r="K55" s="13" t="inlineStr">
        <is>
          <t>2026-09-12</t>
        </is>
      </c>
      <c r="L55" s="15" t="inlineStr"/>
    </row>
    <row r="56">
      <c r="A56" s="13" t="n">
        <v>55</v>
      </c>
      <c r="B56" s="14" t="inlineStr">
        <is>
          <t>DK.ECM.ENT.TRN</t>
        </is>
      </c>
      <c r="C56" s="15" t="inlineStr">
        <is>
          <t>E-sales as share of enterprise turnover</t>
        </is>
      </c>
      <c r="D56" s="13" t="inlineStr">
        <is>
          <t>DK</t>
        </is>
      </c>
      <c r="E56" s="13" t="n">
        <v>2024</v>
      </c>
      <c r="F56" s="16" t="n">
        <v>33.31</v>
      </c>
      <c r="G56" s="13" t="inlineStr">
        <is>
          <t>%</t>
        </is>
      </c>
      <c r="H56" s="15" t="inlineStr">
        <is>
          <t>% of total enterprise turnover</t>
        </is>
      </c>
      <c r="I56" s="13" t="inlineStr"/>
      <c r="J56" s="14" t="inlineStr">
        <is>
          <t>ES5</t>
        </is>
      </c>
      <c r="K56" s="13" t="inlineStr">
        <is>
          <t>2026-09-12</t>
        </is>
      </c>
      <c r="L56" s="15" t="inlineStr">
        <is>
          <t>2nd in EU after Ireland.</t>
        </is>
      </c>
    </row>
    <row r="57">
      <c r="A57" s="13" t="n">
        <v>56</v>
      </c>
      <c r="B57" s="14" t="inlineStr">
        <is>
          <t>EU.ECM.ENT.TRN</t>
        </is>
      </c>
      <c r="C57" s="15" t="inlineStr">
        <is>
          <t>E-sales as share of enterprise turnover</t>
        </is>
      </c>
      <c r="D57" s="13" t="inlineStr">
        <is>
          <t>EU27</t>
        </is>
      </c>
      <c r="E57" s="13" t="n">
        <v>2014</v>
      </c>
      <c r="F57" s="16" t="n">
        <v>16.43</v>
      </c>
      <c r="G57" s="13" t="inlineStr">
        <is>
          <t>%</t>
        </is>
      </c>
      <c r="H57" s="15" t="inlineStr">
        <is>
          <t>% of total enterprise turnover</t>
        </is>
      </c>
      <c r="I57" s="13" t="inlineStr"/>
      <c r="J57" s="14" t="inlineStr">
        <is>
          <t>ES5</t>
        </is>
      </c>
      <c r="K57" s="13" t="inlineStr">
        <is>
          <t>2026-09-12</t>
        </is>
      </c>
      <c r="L57" s="15" t="inlineStr"/>
    </row>
    <row r="58">
      <c r="A58" s="13" t="n">
        <v>57</v>
      </c>
      <c r="B58" s="14" t="inlineStr">
        <is>
          <t>EU.ECM.ENT.TRN</t>
        </is>
      </c>
      <c r="C58" s="15" t="inlineStr">
        <is>
          <t>E-sales as share of enterprise turnover</t>
        </is>
      </c>
      <c r="D58" s="13" t="inlineStr">
        <is>
          <t>EU27</t>
        </is>
      </c>
      <c r="E58" s="13" t="n">
        <v>2024</v>
      </c>
      <c r="F58" s="16" t="n">
        <v>19.49</v>
      </c>
      <c r="G58" s="13" t="inlineStr">
        <is>
          <t>%</t>
        </is>
      </c>
      <c r="H58" s="15" t="inlineStr">
        <is>
          <t>% of total enterprise turnover</t>
        </is>
      </c>
      <c r="I58" s="13" t="inlineStr"/>
      <c r="J58" s="14" t="inlineStr">
        <is>
          <t>ES5</t>
        </is>
      </c>
      <c r="K58" s="13" t="inlineStr">
        <is>
          <t>2026-09-12</t>
        </is>
      </c>
      <c r="L58" s="15" t="inlineStr"/>
    </row>
    <row r="59">
      <c r="A59" s="13" t="n">
        <v>58</v>
      </c>
      <c r="B59" s="14" t="inlineStr">
        <is>
          <t>IE.ECM.ENT.TRN</t>
        </is>
      </c>
      <c r="C59" s="15" t="inlineStr">
        <is>
          <t>E-sales as share of enterprise turnover</t>
        </is>
      </c>
      <c r="D59" s="13" t="inlineStr">
        <is>
          <t>IE</t>
        </is>
      </c>
      <c r="E59" s="13" t="n">
        <v>2024</v>
      </c>
      <c r="F59" s="16" t="n">
        <v>38.25</v>
      </c>
      <c r="G59" s="13" t="inlineStr">
        <is>
          <t>%</t>
        </is>
      </c>
      <c r="H59" s="15" t="inlineStr">
        <is>
          <t>% of total enterprise turnover</t>
        </is>
      </c>
      <c r="I59" s="13" t="inlineStr"/>
      <c r="J59" s="14" t="inlineStr">
        <is>
          <t>ES5</t>
        </is>
      </c>
      <c r="K59" s="13" t="inlineStr">
        <is>
          <t>2026-09-12</t>
        </is>
      </c>
      <c r="L59" s="15" t="inlineStr">
        <is>
          <t>Highest in EU.</t>
        </is>
      </c>
    </row>
    <row r="60">
      <c r="A60" s="18" t="n">
        <v>59</v>
      </c>
      <c r="B60" s="19" t="inlineStr">
        <is>
          <t>BE.ECM.ENT.TRN</t>
        </is>
      </c>
      <c r="C60" s="20" t="inlineStr">
        <is>
          <t>E-sales as share of enterprise turnover</t>
        </is>
      </c>
      <c r="D60" s="18" t="inlineStr">
        <is>
          <t>BE</t>
        </is>
      </c>
      <c r="E60" s="18" t="n">
        <v>2024</v>
      </c>
      <c r="F60" s="22" t="n">
        <v>29.51</v>
      </c>
      <c r="G60" s="18" t="inlineStr">
        <is>
          <t>%</t>
        </is>
      </c>
      <c r="H60" s="20" t="inlineStr">
        <is>
          <t>% of total enterprise turnover</t>
        </is>
      </c>
      <c r="I60" s="18" t="inlineStr">
        <is>
          <t>u</t>
        </is>
      </c>
      <c r="J60" s="19" t="inlineStr">
        <is>
          <t>ES6</t>
        </is>
      </c>
      <c r="K60" s="18" t="inlineStr">
        <is>
          <t>2026-09-12</t>
        </is>
      </c>
      <c r="L60" s="20" t="inlineStr"/>
    </row>
    <row r="61">
      <c r="A61" s="18" t="n">
        <v>60</v>
      </c>
      <c r="B61" s="19" t="inlineStr">
        <is>
          <t>SE.ECM.ENT.TRN</t>
        </is>
      </c>
      <c r="C61" s="20" t="inlineStr">
        <is>
          <t>E-sales as share of enterprise turnover</t>
        </is>
      </c>
      <c r="D61" s="18" t="inlineStr">
        <is>
          <t>SE</t>
        </is>
      </c>
      <c r="E61" s="18" t="n">
        <v>2024</v>
      </c>
      <c r="F61" s="22" t="n">
        <v>26.32</v>
      </c>
      <c r="G61" s="18" t="inlineStr">
        <is>
          <t>%</t>
        </is>
      </c>
      <c r="H61" s="20" t="inlineStr">
        <is>
          <t>% of total enterprise turnover</t>
        </is>
      </c>
      <c r="I61" s="18" t="inlineStr">
        <is>
          <t>u</t>
        </is>
      </c>
      <c r="J61" s="19" t="inlineStr">
        <is>
          <t>ES6</t>
        </is>
      </c>
      <c r="K61" s="18" t="inlineStr">
        <is>
          <t>2026-09-12</t>
        </is>
      </c>
      <c r="L61" s="20" t="inlineStr"/>
    </row>
    <row r="62">
      <c r="A62" s="18" t="n">
        <v>61</v>
      </c>
      <c r="B62" s="19" t="inlineStr">
        <is>
          <t>CZ.ECM.ENT.TRN</t>
        </is>
      </c>
      <c r="C62" s="20" t="inlineStr">
        <is>
          <t>E-sales as share of enterprise turnover</t>
        </is>
      </c>
      <c r="D62" s="18" t="inlineStr">
        <is>
          <t>CZ</t>
        </is>
      </c>
      <c r="E62" s="18" t="n">
        <v>2024</v>
      </c>
      <c r="F62" s="22" t="n">
        <v>25.65</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LU.ECM.ENT.TRN</t>
        </is>
      </c>
      <c r="C63" s="20" t="inlineStr">
        <is>
          <t>E-sales as share of enterprise turnover</t>
        </is>
      </c>
      <c r="D63" s="18" t="inlineStr">
        <is>
          <t>LU</t>
        </is>
      </c>
      <c r="E63" s="18" t="n">
        <v>2024</v>
      </c>
      <c r="F63" s="22" t="n">
        <v>23.86</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HU.ECM.ENT.TRN</t>
        </is>
      </c>
      <c r="C64" s="20" t="inlineStr">
        <is>
          <t>E-sales as share of enterprise turnover</t>
        </is>
      </c>
      <c r="D64" s="18" t="inlineStr">
        <is>
          <t>HU</t>
        </is>
      </c>
      <c r="E64" s="18" t="n">
        <v>2024</v>
      </c>
      <c r="F64" s="22" t="n">
        <v>21.35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DE.ECM.ENT.TRN</t>
        </is>
      </c>
      <c r="C65" s="20" t="inlineStr">
        <is>
          <t>E-sales as share of enterprise turnover</t>
        </is>
      </c>
      <c r="D65" s="18" t="inlineStr">
        <is>
          <t>DE</t>
        </is>
      </c>
      <c r="E65" s="18" t="n">
        <v>2024</v>
      </c>
      <c r="F65" s="22" t="n">
        <v>19.05</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AT.ECM.ENT.TRN</t>
        </is>
      </c>
      <c r="C66" s="20" t="inlineStr">
        <is>
          <t>E-sales as share of enterprise turnover</t>
        </is>
      </c>
      <c r="D66" s="18" t="inlineStr">
        <is>
          <t>AT</t>
        </is>
      </c>
      <c r="E66" s="18" t="n">
        <v>2024</v>
      </c>
      <c r="F66" s="22" t="n">
        <v>18.96</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HR.ECM.ENT.TRN</t>
        </is>
      </c>
      <c r="C67" s="20" t="inlineStr">
        <is>
          <t>E-sales as share of enterprise turnover</t>
        </is>
      </c>
      <c r="D67" s="18" t="inlineStr">
        <is>
          <t>HR</t>
        </is>
      </c>
      <c r="E67" s="18" t="n">
        <v>2024</v>
      </c>
      <c r="F67" s="22" t="n">
        <v>18.48</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ES.ECM.ENT.TRN</t>
        </is>
      </c>
      <c r="C68" s="20" t="inlineStr">
        <is>
          <t>E-sales as share of enterprise turnover</t>
        </is>
      </c>
      <c r="D68" s="18" t="inlineStr">
        <is>
          <t>ES</t>
        </is>
      </c>
      <c r="E68" s="18" t="n">
        <v>2024</v>
      </c>
      <c r="F68" s="22" t="n">
        <v>18.27</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PL.ECM.ENT.TRN</t>
        </is>
      </c>
      <c r="C69" s="20" t="inlineStr">
        <is>
          <t>E-sales as share of enterprise turnover</t>
        </is>
      </c>
      <c r="D69" s="18" t="inlineStr">
        <is>
          <t>PL</t>
        </is>
      </c>
      <c r="E69" s="18" t="n">
        <v>2024</v>
      </c>
      <c r="F69" s="22" t="n">
        <v>17.66</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SI.ECM.ENT.TRN</t>
        </is>
      </c>
      <c r="C70" s="20" t="inlineStr">
        <is>
          <t>E-sales as share of enterprise turnover</t>
        </is>
      </c>
      <c r="D70" s="18" t="inlineStr">
        <is>
          <t>SI</t>
        </is>
      </c>
      <c r="E70" s="18" t="n">
        <v>2024</v>
      </c>
      <c r="F70" s="22" t="n">
        <v>16.78</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IT.ECM.ENT.TRN</t>
        </is>
      </c>
      <c r="C71" s="20" t="inlineStr">
        <is>
          <t>E-sales as share of enterprise turnover</t>
        </is>
      </c>
      <c r="D71" s="18" t="inlineStr">
        <is>
          <t>IT</t>
        </is>
      </c>
      <c r="E71" s="18" t="n">
        <v>2024</v>
      </c>
      <c r="F71" s="22" t="n">
        <v>15.66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MT.ECM.ENT.TRN</t>
        </is>
      </c>
      <c r="C72" s="20" t="inlineStr">
        <is>
          <t>E-sales as share of enterprise turnover</t>
        </is>
      </c>
      <c r="D72" s="18" t="inlineStr">
        <is>
          <t>MT</t>
        </is>
      </c>
      <c r="E72" s="18" t="n">
        <v>2024</v>
      </c>
      <c r="F72" s="22" t="n">
        <v>15.46</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FR.ECM.ENT.TRN</t>
        </is>
      </c>
      <c r="C73" s="20" t="inlineStr">
        <is>
          <t>E-sales as share of enterprise turnover</t>
        </is>
      </c>
      <c r="D73" s="18" t="inlineStr">
        <is>
          <t>FR</t>
        </is>
      </c>
      <c r="E73" s="18" t="n">
        <v>2024</v>
      </c>
      <c r="F73" s="22" t="n">
        <v>14.25</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CY.ECM.ENT.TRN</t>
        </is>
      </c>
      <c r="C74" s="20" t="inlineStr">
        <is>
          <t>E-sales as share of enterprise turnover</t>
        </is>
      </c>
      <c r="D74" s="18" t="inlineStr">
        <is>
          <t>CY</t>
        </is>
      </c>
      <c r="E74" s="18" t="n">
        <v>2024</v>
      </c>
      <c r="F74" s="22" t="n">
        <v>13.36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BG.ECM.ENT.TRN</t>
        </is>
      </c>
      <c r="C75" s="20" t="inlineStr">
        <is>
          <t>E-sales as share of enterprise turnover</t>
        </is>
      </c>
      <c r="D75" s="18" t="inlineStr">
        <is>
          <t>BG</t>
        </is>
      </c>
      <c r="E75" s="18" t="n">
        <v>2024</v>
      </c>
      <c r="F75" s="22" t="n">
        <v>7.63</v>
      </c>
      <c r="G75" s="18" t="inlineStr">
        <is>
          <t>%</t>
        </is>
      </c>
      <c r="H75" s="20" t="inlineStr">
        <is>
          <t>% of total enterprise turnover</t>
        </is>
      </c>
      <c r="I75" s="18" t="inlineStr">
        <is>
          <t>u</t>
        </is>
      </c>
      <c r="J75" s="19" t="inlineStr">
        <is>
          <t>ES6</t>
        </is>
      </c>
      <c r="K75" s="18" t="inlineStr">
        <is>
          <t>2026-09-12</t>
        </is>
      </c>
      <c r="L75" s="20" t="inlineStr"/>
    </row>
    <row r="76">
      <c r="A76" s="13" t="n">
        <v>75</v>
      </c>
      <c r="B76" s="14" t="inlineStr">
        <is>
          <t>DK.ECM.ENT.SHR</t>
        </is>
      </c>
      <c r="C76" s="15" t="inlineStr">
        <is>
          <t>Enterprises making e-sales</t>
        </is>
      </c>
      <c r="D76" s="13" t="inlineStr">
        <is>
          <t>DK</t>
        </is>
      </c>
      <c r="E76" s="13" t="n">
        <v>2024</v>
      </c>
      <c r="F76" s="16" t="n">
        <v>38.78</v>
      </c>
      <c r="G76" s="13" t="inlineStr">
        <is>
          <t>%</t>
        </is>
      </c>
      <c r="H76" s="15" t="inlineStr">
        <is>
          <t>% of enterprises</t>
        </is>
      </c>
      <c r="I76" s="13" t="inlineStr"/>
      <c r="J76" s="14" t="inlineStr">
        <is>
          <t>ES5</t>
        </is>
      </c>
      <c r="K76" s="13" t="inlineStr">
        <is>
          <t>2026-09-12</t>
        </is>
      </c>
      <c r="L76" s="15" t="inlineStr">
        <is>
          <t>2nd in EU after Lithuania.</t>
        </is>
      </c>
    </row>
    <row r="77">
      <c r="A77" s="13" t="n">
        <v>76</v>
      </c>
      <c r="B77" s="14" t="inlineStr">
        <is>
          <t>LT.ECM.ENT.SHR</t>
        </is>
      </c>
      <c r="C77" s="15" t="inlineStr">
        <is>
          <t>Enterprises making e-sales</t>
        </is>
      </c>
      <c r="D77" s="13" t="inlineStr">
        <is>
          <t>LT</t>
        </is>
      </c>
      <c r="E77" s="13" t="n">
        <v>2024</v>
      </c>
      <c r="F77" s="16" t="n">
        <v>43.03</v>
      </c>
      <c r="G77" s="13" t="inlineStr">
        <is>
          <t>%</t>
        </is>
      </c>
      <c r="H77" s="15" t="inlineStr">
        <is>
          <t>% of enterprises</t>
        </is>
      </c>
      <c r="I77" s="13" t="inlineStr"/>
      <c r="J77" s="14" t="inlineStr">
        <is>
          <t>ES5</t>
        </is>
      </c>
      <c r="K77" s="13" t="inlineStr">
        <is>
          <t>2026-09-12</t>
        </is>
      </c>
      <c r="L77" s="15" t="inlineStr">
        <is>
          <t>Highest in EU.</t>
        </is>
      </c>
    </row>
    <row r="78">
      <c r="A78" s="13" t="n">
        <v>77</v>
      </c>
      <c r="B78" s="14" t="inlineStr">
        <is>
          <t>DK.DGP.EXMP</t>
        </is>
      </c>
      <c r="C78" s="15" t="inlineStr">
        <is>
          <t>Citizens formally exempt from Digital Post</t>
        </is>
      </c>
      <c r="D78" s="13" t="inlineStr">
        <is>
          <t>DK</t>
        </is>
      </c>
      <c r="E78" s="13" t="n">
        <v>2025</v>
      </c>
      <c r="F78" s="16" t="n">
        <v>5</v>
      </c>
      <c r="G78" s="13" t="inlineStr">
        <is>
          <t>%</t>
        </is>
      </c>
      <c r="H78" s="15" t="inlineStr">
        <is>
          <t>% of citizens aged 15+ resident in Denmark</t>
        </is>
      </c>
      <c r="I78" s="13" t="inlineStr"/>
      <c r="J78" s="14" t="inlineStr">
        <is>
          <t>DG1</t>
        </is>
      </c>
      <c r="K78" s="13" t="inlineStr">
        <is>
          <t>2026-09-12</t>
        </is>
      </c>
      <c r="L78" s="15" t="inlineStr">
        <is>
          <t>April 2025; approx. 256,000 citizens.</t>
        </is>
      </c>
    </row>
    <row r="79">
      <c r="A79" s="13" t="n">
        <v>78</v>
      </c>
      <c r="B79" s="14" t="inlineStr">
        <is>
          <t>DK.DGP.EXMP</t>
        </is>
      </c>
      <c r="C79" s="15" t="inlineStr">
        <is>
          <t>Citizens formally exempt from Digital Post</t>
        </is>
      </c>
      <c r="D79" s="13" t="inlineStr">
        <is>
          <t>DK</t>
        </is>
      </c>
      <c r="E79" s="13" t="n">
        <v>2026</v>
      </c>
      <c r="F79" s="16" t="n">
        <v>4.7</v>
      </c>
      <c r="G79" s="13" t="inlineStr">
        <is>
          <t>%</t>
        </is>
      </c>
      <c r="H79" s="15" t="inlineStr">
        <is>
          <t>% of citizens aged 15+ resident in Denmark</t>
        </is>
      </c>
      <c r="I79" s="13" t="inlineStr"/>
      <c r="J79" s="14" t="inlineStr">
        <is>
          <t>DG1</t>
        </is>
      </c>
      <c r="K79" s="13" t="inlineStr">
        <is>
          <t>2026-09-12</t>
        </is>
      </c>
      <c r="L79" s="15" t="inlineStr">
        <is>
          <t>Q1 2026; 238,479 citizens. 95.2% enrolled.</t>
        </is>
      </c>
    </row>
    <row r="80">
      <c r="A80" s="18" t="n">
        <v>79</v>
      </c>
      <c r="B80" s="19" t="inlineStr">
        <is>
          <t>DK.DGP.EXMP.7584</t>
        </is>
      </c>
      <c r="C80" s="20" t="inlineStr">
        <is>
          <t>Exemption rate, age 75-84</t>
        </is>
      </c>
      <c r="D80" s="18" t="inlineStr">
        <is>
          <t>DK</t>
        </is>
      </c>
      <c r="E80" s="18" t="n">
        <v>2022</v>
      </c>
      <c r="F80" s="22" t="n">
        <v>20</v>
      </c>
      <c r="G80" s="18" t="inlineStr">
        <is>
          <t>%</t>
        </is>
      </c>
      <c r="H80" s="20" t="inlineStr">
        <is>
          <t>% of age group</t>
        </is>
      </c>
      <c r="I80" s="18" t="inlineStr">
        <is>
          <t>e</t>
        </is>
      </c>
      <c r="J80" s="19" t="inlineStr">
        <is>
          <t>DG1</t>
        </is>
      </c>
      <c r="K80" s="18" t="inlineStr">
        <is>
          <t>2026-09-12</t>
        </is>
      </c>
      <c r="L80" s="20" t="inlineStr">
        <is>
          <t>Source states 'nearly one in five'.</t>
        </is>
      </c>
    </row>
    <row r="81">
      <c r="A81" s="18" t="n">
        <v>80</v>
      </c>
      <c r="B81" s="19" t="inlineStr">
        <is>
          <t>DK.DGP.EXMP.85P</t>
        </is>
      </c>
      <c r="C81" s="20" t="inlineStr">
        <is>
          <t>Exemption rate, age 85+</t>
        </is>
      </c>
      <c r="D81" s="18" t="inlineStr">
        <is>
          <t>DK</t>
        </is>
      </c>
      <c r="E81" s="18" t="n">
        <v>2022</v>
      </c>
      <c r="F81" s="22" t="n">
        <v>33</v>
      </c>
      <c r="G81" s="18" t="inlineStr">
        <is>
          <t>%</t>
        </is>
      </c>
      <c r="H81" s="20" t="inlineStr">
        <is>
          <t>% of age group</t>
        </is>
      </c>
      <c r="I81" s="18" t="inlineStr">
        <is>
          <t>e</t>
        </is>
      </c>
      <c r="J81" s="19" t="inlineStr">
        <is>
          <t>DG1</t>
        </is>
      </c>
      <c r="K81" s="18" t="inlineStr">
        <is>
          <t>2026-09-12</t>
        </is>
      </c>
      <c r="L81" s="20" t="inlineStr">
        <is>
          <t>Source states 'roughly one in three'.</t>
        </is>
      </c>
    </row>
    <row r="82">
      <c r="A82" s="13" t="n">
        <v>81</v>
      </c>
      <c r="B82" s="14" t="inlineStr">
        <is>
          <t>DK.DGX.NOUSE</t>
        </is>
      </c>
      <c r="C82" s="15" t="inlineStr">
        <is>
          <t>Do not use digital public services at all</t>
        </is>
      </c>
      <c r="D82" s="13" t="inlineStr">
        <is>
          <t>DK</t>
        </is>
      </c>
      <c r="E82" s="13" t="n">
        <v>2026</v>
      </c>
      <c r="F82" s="16" t="n">
        <v>6.5</v>
      </c>
      <c r="G82" s="13" t="inlineStr">
        <is>
          <t>%</t>
        </is>
      </c>
      <c r="H82" s="15" t="inlineStr">
        <is>
          <t>% of population</t>
        </is>
      </c>
      <c r="I82" s="13" t="inlineStr"/>
      <c r="J82" s="14" t="inlineStr">
        <is>
          <t>EC1</t>
        </is>
      </c>
      <c r="K82" s="13" t="inlineStr">
        <is>
          <t>2026-09-12</t>
        </is>
      </c>
      <c r="L82" s="15" t="inlineStr">
        <is>
          <t>Agency for Digital Government estimate.</t>
        </is>
      </c>
    </row>
    <row r="83">
      <c r="A83" s="13" t="n">
        <v>82</v>
      </c>
      <c r="B83" s="14" t="inlineStr">
        <is>
          <t>DK.DGX.DIFF</t>
        </is>
      </c>
      <c r="C83" s="15" t="inlineStr">
        <is>
          <t>Face difficulties using digital public services</t>
        </is>
      </c>
      <c r="D83" s="13" t="inlineStr">
        <is>
          <t>DK</t>
        </is>
      </c>
      <c r="E83" s="13" t="n">
        <v>2026</v>
      </c>
      <c r="F83" s="16" t="n">
        <v>16.5</v>
      </c>
      <c r="G83" s="13" t="inlineStr">
        <is>
          <t>%</t>
        </is>
      </c>
      <c r="H83" s="15" t="inlineStr">
        <is>
          <t>% of population</t>
        </is>
      </c>
      <c r="I83" s="13" t="inlineStr"/>
      <c r="J83" s="14" t="inlineStr">
        <is>
          <t>EC1</t>
        </is>
      </c>
      <c r="K83" s="13" t="inlineStr">
        <is>
          <t>2026-09-12</t>
        </is>
      </c>
      <c r="L83" s="15" t="inlineStr">
        <is>
          <t>Agency for Digital Government estimate.</t>
        </is>
      </c>
    </row>
    <row r="84">
      <c r="A84" s="18" t="n">
        <v>83</v>
      </c>
      <c r="B84" s="19" t="inlineStr">
        <is>
          <t>DK.DGX.DISADV.LO</t>
        </is>
      </c>
      <c r="C84" s="20" t="inlineStr">
        <is>
          <t>'Digitally disadvantaged' - lower bound</t>
        </is>
      </c>
      <c r="D84" s="18" t="inlineStr">
        <is>
          <t>DK</t>
        </is>
      </c>
      <c r="E84" s="18" t="n">
        <v>2025</v>
      </c>
      <c r="F84" s="22" t="n">
        <v>17</v>
      </c>
      <c r="G84" s="18" t="inlineStr">
        <is>
          <t>%</t>
        </is>
      </c>
      <c r="H84" s="20" t="inlineStr">
        <is>
          <t>% of adult population</t>
        </is>
      </c>
      <c r="I84" s="18" t="inlineStr">
        <is>
          <t>e</t>
        </is>
      </c>
      <c r="J84" s="19" t="inlineStr">
        <is>
          <t>DG2</t>
        </is>
      </c>
      <c r="K84" s="18" t="inlineStr">
        <is>
          <t>2026-09-12</t>
        </is>
      </c>
      <c r="L84" s="20" t="inlineStr">
        <is>
          <t>Published as a 17-22% range.</t>
        </is>
      </c>
    </row>
    <row r="85">
      <c r="A85" s="18" t="n">
        <v>84</v>
      </c>
      <c r="B85" s="19" t="inlineStr">
        <is>
          <t>DK.DGX.DISADV.HI</t>
        </is>
      </c>
      <c r="C85" s="20" t="inlineStr">
        <is>
          <t>'Digitally disadvantaged' - upper bound</t>
        </is>
      </c>
      <c r="D85" s="18" t="inlineStr">
        <is>
          <t>DK</t>
        </is>
      </c>
      <c r="E85" s="18" t="n">
        <v>2025</v>
      </c>
      <c r="F85" s="22" t="n">
        <v>22</v>
      </c>
      <c r="G85" s="18" t="inlineStr">
        <is>
          <t>%</t>
        </is>
      </c>
      <c r="H85" s="20" t="inlineStr">
        <is>
          <t>% of adult population</t>
        </is>
      </c>
      <c r="I85" s="18" t="inlineStr">
        <is>
          <t>e</t>
        </is>
      </c>
      <c r="J85" s="19" t="inlineStr">
        <is>
          <t>DG2</t>
        </is>
      </c>
      <c r="K85" s="18" t="inlineStr">
        <is>
          <t>2026-09-12</t>
        </is>
      </c>
      <c r="L85" s="20" t="inlineStr">
        <is>
          <t>Published as a 17-22% range.</t>
        </is>
      </c>
    </row>
    <row r="86">
      <c r="A86" s="18" t="n">
        <v>85</v>
      </c>
      <c r="B86" s="19" t="inlineStr">
        <is>
          <t>DK.DGX.JUST</t>
        </is>
      </c>
      <c r="C86" s="20" t="inlineStr">
        <is>
          <t>'Digitally disadvantaged' - Justitia estimate</t>
        </is>
      </c>
      <c r="D86" s="18" t="inlineStr">
        <is>
          <t>DK</t>
        </is>
      </c>
      <c r="E86" s="18" t="n">
        <v>2022</v>
      </c>
      <c r="F86" s="22" t="n">
        <v>25</v>
      </c>
      <c r="G86" s="18" t="inlineStr">
        <is>
          <t>%</t>
        </is>
      </c>
      <c r="H86" s="20" t="inlineStr">
        <is>
          <t>% of adult population</t>
        </is>
      </c>
      <c r="I86" s="18" t="inlineStr">
        <is>
          <t>e</t>
        </is>
      </c>
      <c r="J86" s="19" t="inlineStr">
        <is>
          <t>JU1</t>
        </is>
      </c>
      <c r="K86" s="18" t="inlineStr">
        <is>
          <t>2026-09-12</t>
        </is>
      </c>
      <c r="L86" s="20" t="inlineStr">
        <is>
          <t>Report states 'up to a quarter of the adult population'.</t>
        </is>
      </c>
    </row>
    <row r="87">
      <c r="A87" s="13" t="n">
        <v>86</v>
      </c>
      <c r="B87" s="14" t="inlineStr">
        <is>
          <t>DK.TRU.DPS</t>
        </is>
      </c>
      <c r="C87" s="15" t="inlineStr">
        <is>
          <t>Trust in digital public solutions</t>
        </is>
      </c>
      <c r="D87" s="13" t="inlineStr">
        <is>
          <t>DK</t>
        </is>
      </c>
      <c r="E87" s="13" t="n">
        <v>2024</v>
      </c>
      <c r="F87" s="16" t="n">
        <v>82</v>
      </c>
      <c r="G87" s="13" t="inlineStr">
        <is>
          <t>%</t>
        </is>
      </c>
      <c r="H87" s="15" t="inlineStr">
        <is>
          <t>% of population</t>
        </is>
      </c>
      <c r="I87" s="13" t="inlineStr"/>
      <c r="J87" s="14" t="inlineStr">
        <is>
          <t>EC1</t>
        </is>
      </c>
      <c r="K87" s="13" t="inlineStr">
        <is>
          <t>2026-09-12</t>
        </is>
      </c>
      <c r="L87" s="15" t="inlineStr"/>
    </row>
    <row r="88">
      <c r="A88" s="13" t="n">
        <v>87</v>
      </c>
      <c r="B88" s="14" t="inlineStr">
        <is>
          <t>DK.TRU.DPS</t>
        </is>
      </c>
      <c r="C88" s="15" t="inlineStr">
        <is>
          <t>Trust in digital public solutions</t>
        </is>
      </c>
      <c r="D88" s="13" t="inlineStr">
        <is>
          <t>DK</t>
        </is>
      </c>
      <c r="E88" s="13" t="n">
        <v>2025</v>
      </c>
      <c r="F88" s="16" t="n">
        <v>84</v>
      </c>
      <c r="G88" s="13" t="inlineStr">
        <is>
          <t>%</t>
        </is>
      </c>
      <c r="H88" s="15" t="inlineStr">
        <is>
          <t>% of population</t>
        </is>
      </c>
      <c r="I88" s="13" t="inlineStr"/>
      <c r="J88" s="14" t="inlineStr">
        <is>
          <t>EC1</t>
        </is>
      </c>
      <c r="K88" s="13" t="inlineStr">
        <is>
          <t>2026-09-12</t>
        </is>
      </c>
      <c r="L88" s="15" t="inlineStr">
        <is>
          <t>Record high.</t>
        </is>
      </c>
    </row>
    <row r="89">
      <c r="A89" s="13" t="n">
        <v>88</v>
      </c>
      <c r="B89" s="14" t="inlineStr">
        <is>
          <t>DK.TRU.DGP.SEC</t>
        </is>
      </c>
      <c r="C89" s="15" t="inlineStr">
        <is>
          <t>Perceived security of Digital Post</t>
        </is>
      </c>
      <c r="D89" s="13" t="inlineStr">
        <is>
          <t>DK</t>
        </is>
      </c>
      <c r="E89" s="13" t="n">
        <v>2017</v>
      </c>
      <c r="F89" s="16" t="n">
        <v>77</v>
      </c>
      <c r="G89" s="13" t="inlineStr">
        <is>
          <t>%</t>
        </is>
      </c>
      <c r="H89" s="15" t="inlineStr">
        <is>
          <t>% of population</t>
        </is>
      </c>
      <c r="I89" s="13" t="inlineStr"/>
      <c r="J89" s="14" t="inlineStr">
        <is>
          <t>EC1</t>
        </is>
      </c>
      <c r="K89" s="13" t="inlineStr">
        <is>
          <t>2026-09-12</t>
        </is>
      </c>
      <c r="L89" s="15" t="inlineStr"/>
    </row>
    <row r="90">
      <c r="A90" s="13" t="n">
        <v>89</v>
      </c>
      <c r="B90" s="14" t="inlineStr">
        <is>
          <t>DK.TRU.DGP.SEC</t>
        </is>
      </c>
      <c r="C90" s="15" t="inlineStr">
        <is>
          <t>Perceived security of Digital Post</t>
        </is>
      </c>
      <c r="D90" s="13" t="inlineStr">
        <is>
          <t>DK</t>
        </is>
      </c>
      <c r="E90" s="13" t="n">
        <v>2025</v>
      </c>
      <c r="F90" s="16" t="n">
        <v>89</v>
      </c>
      <c r="G90" s="13" t="inlineStr">
        <is>
          <t>%</t>
        </is>
      </c>
      <c r="H90" s="15" t="inlineStr">
        <is>
          <t>% of population</t>
        </is>
      </c>
      <c r="I90" s="13" t="inlineStr"/>
      <c r="J90" s="14" t="inlineStr">
        <is>
          <t>EC1</t>
        </is>
      </c>
      <c r="K90" s="13" t="inlineStr">
        <is>
          <t>2026-09-12</t>
        </is>
      </c>
      <c r="L90" s="15" t="inlineStr"/>
    </row>
    <row r="91">
      <c r="A91" s="13" t="n">
        <v>90</v>
      </c>
      <c r="B91" s="14" t="inlineStr">
        <is>
          <t>DK.SKL.1624</t>
        </is>
      </c>
      <c r="C91" s="15" t="inlineStr">
        <is>
          <t>At least basic digital skills, age 16-24</t>
        </is>
      </c>
      <c r="D91" s="13" t="inlineStr">
        <is>
          <t>DK</t>
        </is>
      </c>
      <c r="E91" s="13" t="n">
        <v>2025</v>
      </c>
      <c r="F91" s="16" t="n">
        <v>92.06</v>
      </c>
      <c r="G91" s="13" t="inlineStr">
        <is>
          <t>%</t>
        </is>
      </c>
      <c r="H91" s="15" t="inlineStr">
        <is>
          <t>% of age group</t>
        </is>
      </c>
      <c r="I91" s="13" t="inlineStr"/>
      <c r="J91" s="14" t="inlineStr">
        <is>
          <t>EC1</t>
        </is>
      </c>
      <c r="K91" s="13" t="inlineStr">
        <is>
          <t>2026-09-12</t>
        </is>
      </c>
      <c r="L91" s="15" t="inlineStr">
        <is>
          <t>EU average carried as EU.SKL.1624.</t>
        </is>
      </c>
    </row>
    <row r="92">
      <c r="A92" s="13" t="n">
        <v>91</v>
      </c>
      <c r="B92" s="14" t="inlineStr">
        <is>
          <t>DK.SKL.2554</t>
        </is>
      </c>
      <c r="C92" s="15" t="inlineStr">
        <is>
          <t>At least basic digital skills, age 25-54</t>
        </is>
      </c>
      <c r="D92" s="13" t="inlineStr">
        <is>
          <t>DK</t>
        </is>
      </c>
      <c r="E92" s="13" t="n">
        <v>2025</v>
      </c>
      <c r="F92" s="16" t="n">
        <v>86.89</v>
      </c>
      <c r="G92" s="13" t="inlineStr">
        <is>
          <t>%</t>
        </is>
      </c>
      <c r="H92" s="15" t="inlineStr">
        <is>
          <t>% of age group</t>
        </is>
      </c>
      <c r="I92" s="13" t="inlineStr"/>
      <c r="J92" s="14" t="inlineStr">
        <is>
          <t>EC1</t>
        </is>
      </c>
      <c r="K92" s="13" t="inlineStr">
        <is>
          <t>2026-09-12</t>
        </is>
      </c>
      <c r="L92" s="15" t="inlineStr">
        <is>
          <t>EU average carried as EU.SKL.2554.</t>
        </is>
      </c>
    </row>
    <row r="93">
      <c r="A93" s="13" t="n">
        <v>92</v>
      </c>
      <c r="B93" s="14" t="inlineStr">
        <is>
          <t>DK.SKL.5574</t>
        </is>
      </c>
      <c r="C93" s="15" t="inlineStr">
        <is>
          <t>At least basic digital skills, age 55-74</t>
        </is>
      </c>
      <c r="D93" s="13" t="inlineStr">
        <is>
          <t>DK</t>
        </is>
      </c>
      <c r="E93" s="13" t="n">
        <v>2025</v>
      </c>
      <c r="F93" s="16" t="n">
        <v>67.81</v>
      </c>
      <c r="G93" s="13" t="inlineStr">
        <is>
          <t>%</t>
        </is>
      </c>
      <c r="H93" s="15" t="inlineStr">
        <is>
          <t>% of age group</t>
        </is>
      </c>
      <c r="I93" s="13" t="inlineStr"/>
      <c r="J93" s="14" t="inlineStr">
        <is>
          <t>EC1</t>
        </is>
      </c>
      <c r="K93" s="13" t="inlineStr">
        <is>
          <t>2026-09-12</t>
        </is>
      </c>
      <c r="L93" s="15" t="inlineStr">
        <is>
          <t>EU average carried as EU.SKL.5574.</t>
        </is>
      </c>
    </row>
    <row r="94">
      <c r="A94" s="13" t="n">
        <v>93</v>
      </c>
      <c r="B94" s="14" t="inlineStr">
        <is>
          <t>EU.SKL.1624</t>
        </is>
      </c>
      <c r="C94" s="15" t="inlineStr">
        <is>
          <t>At least basic digital skills, age 16-24</t>
        </is>
      </c>
      <c r="D94" s="13" t="inlineStr">
        <is>
          <t>EU27</t>
        </is>
      </c>
      <c r="E94" s="13" t="n">
        <v>2025</v>
      </c>
      <c r="F94" s="16" t="n">
        <v>74.55</v>
      </c>
      <c r="G94" s="13" t="inlineStr">
        <is>
          <t>%</t>
        </is>
      </c>
      <c r="H94" s="15" t="inlineStr">
        <is>
          <t>% of age group</t>
        </is>
      </c>
      <c r="I94" s="13" t="inlineStr"/>
      <c r="J94" s="14" t="inlineStr">
        <is>
          <t>EC1</t>
        </is>
      </c>
      <c r="K94" s="13" t="inlineStr">
        <is>
          <t>2026-09-12</t>
        </is>
      </c>
      <c r="L94" s="15" t="inlineStr">
        <is>
          <t>Comparator for DK.SKL.1624.</t>
        </is>
      </c>
    </row>
    <row r="95">
      <c r="A95" s="13" t="n">
        <v>94</v>
      </c>
      <c r="B95" s="14" t="inlineStr">
        <is>
          <t>EU.SKL.2554</t>
        </is>
      </c>
      <c r="C95" s="15" t="inlineStr">
        <is>
          <t>At least basic digital skills, age 25-54</t>
        </is>
      </c>
      <c r="D95" s="13" t="inlineStr">
        <is>
          <t>EU27</t>
        </is>
      </c>
      <c r="E95" s="13" t="n">
        <v>2025</v>
      </c>
      <c r="F95" s="16" t="n">
        <v>68.56999999999999</v>
      </c>
      <c r="G95" s="13" t="inlineStr">
        <is>
          <t>%</t>
        </is>
      </c>
      <c r="H95" s="15" t="inlineStr">
        <is>
          <t>% of age group</t>
        </is>
      </c>
      <c r="I95" s="13" t="inlineStr"/>
      <c r="J95" s="14" t="inlineStr">
        <is>
          <t>EC1</t>
        </is>
      </c>
      <c r="K95" s="13" t="inlineStr">
        <is>
          <t>2026-09-12</t>
        </is>
      </c>
      <c r="L95" s="15" t="inlineStr">
        <is>
          <t>Comparator for DK.SKL.2554.</t>
        </is>
      </c>
    </row>
    <row r="96">
      <c r="A96" s="13" t="n">
        <v>95</v>
      </c>
      <c r="B96" s="14" t="inlineStr">
        <is>
          <t>EU.SKL.5574</t>
        </is>
      </c>
      <c r="C96" s="15" t="inlineStr">
        <is>
          <t>At least basic digital skills, age 55-74</t>
        </is>
      </c>
      <c r="D96" s="13" t="inlineStr">
        <is>
          <t>EU27</t>
        </is>
      </c>
      <c r="E96" s="13" t="n">
        <v>2025</v>
      </c>
      <c r="F96" s="16" t="n">
        <v>42.6</v>
      </c>
      <c r="G96" s="13" t="inlineStr">
        <is>
          <t>%</t>
        </is>
      </c>
      <c r="H96" s="15" t="inlineStr">
        <is>
          <t>% of age group</t>
        </is>
      </c>
      <c r="I96" s="13" t="inlineStr"/>
      <c r="J96" s="14" t="inlineStr">
        <is>
          <t>EC1</t>
        </is>
      </c>
      <c r="K96" s="13" t="inlineStr">
        <is>
          <t>2026-09-12</t>
        </is>
      </c>
      <c r="L96" s="15" t="inlineStr">
        <is>
          <t>Comparator for DK.SKL.5574.</t>
        </is>
      </c>
    </row>
    <row r="97">
      <c r="A97" s="13" t="n">
        <v>96</v>
      </c>
      <c r="B97" s="14" t="inlineStr">
        <is>
          <t>DK.ENT.DII</t>
        </is>
      </c>
      <c r="C97" s="15" t="inlineStr">
        <is>
          <t>SMEs with at least basic digital intensity</t>
        </is>
      </c>
      <c r="D97" s="13" t="inlineStr">
        <is>
          <t>DK</t>
        </is>
      </c>
      <c r="E97" s="13" t="n">
        <v>2025</v>
      </c>
      <c r="F97" s="16" t="n">
        <v>92.45</v>
      </c>
      <c r="G97" s="13" t="inlineStr">
        <is>
          <t>%</t>
        </is>
      </c>
      <c r="H97" s="15" t="inlineStr">
        <is>
          <t>% of SMEs</t>
        </is>
      </c>
      <c r="I97" s="13" t="inlineStr"/>
      <c r="J97" s="14" t="inlineStr">
        <is>
          <t>EC1</t>
        </is>
      </c>
      <c r="K97" s="13" t="inlineStr">
        <is>
          <t>2026-09-12</t>
        </is>
      </c>
      <c r="L97" s="15" t="inlineStr">
        <is>
          <t>EU average 71.39%.</t>
        </is>
      </c>
    </row>
    <row r="98">
      <c r="A98" s="13" t="n">
        <v>97</v>
      </c>
      <c r="B98" s="14" t="inlineStr">
        <is>
          <t>EU.ENT.DII</t>
        </is>
      </c>
      <c r="C98" s="15" t="inlineStr">
        <is>
          <t>SMEs with at least basic digital intensity</t>
        </is>
      </c>
      <c r="D98" s="13" t="inlineStr">
        <is>
          <t>EU27</t>
        </is>
      </c>
      <c r="E98" s="13" t="n">
        <v>2025</v>
      </c>
      <c r="F98" s="16" t="n">
        <v>71.39</v>
      </c>
      <c r="G98" s="13" t="inlineStr">
        <is>
          <t>%</t>
        </is>
      </c>
      <c r="H98" s="15" t="inlineStr">
        <is>
          <t>% of SMEs</t>
        </is>
      </c>
      <c r="I98" s="13" t="inlineStr"/>
      <c r="J98" s="14" t="inlineStr">
        <is>
          <t>EC1</t>
        </is>
      </c>
      <c r="K98" s="13" t="inlineStr">
        <is>
          <t>2026-09-12</t>
        </is>
      </c>
      <c r="L98" s="15" t="inlineStr"/>
    </row>
    <row r="99">
      <c r="A99" s="13" t="n">
        <v>98</v>
      </c>
      <c r="B99" s="14" t="inlineStr">
        <is>
          <t>DK.ENT.AI</t>
        </is>
      </c>
      <c r="C99" s="15" t="inlineStr">
        <is>
          <t>Enterprises adopting AI</t>
        </is>
      </c>
      <c r="D99" s="13" t="inlineStr">
        <is>
          <t>DK</t>
        </is>
      </c>
      <c r="E99" s="13" t="n">
        <v>2025</v>
      </c>
      <c r="F99" s="16" t="n">
        <v>42.03</v>
      </c>
      <c r="G99" s="13" t="inlineStr">
        <is>
          <t>%</t>
        </is>
      </c>
      <c r="H99" s="15" t="inlineStr">
        <is>
          <t>% of enterprises</t>
        </is>
      </c>
      <c r="I99" s="13" t="inlineStr"/>
      <c r="J99" s="14" t="inlineStr">
        <is>
          <t>EC1</t>
        </is>
      </c>
      <c r="K99" s="13" t="inlineStr">
        <is>
          <t>2026-09-12</t>
        </is>
      </c>
      <c r="L99" s="15" t="inlineStr">
        <is>
          <t>EU average 19.95%.</t>
        </is>
      </c>
    </row>
    <row r="100">
      <c r="A100" s="13" t="n">
        <v>99</v>
      </c>
      <c r="B100" s="14" t="inlineStr">
        <is>
          <t>DK.ENT.AI.LRG</t>
        </is>
      </c>
      <c r="C100" s="15" t="inlineStr">
        <is>
          <t>Large enterprises adopting AI</t>
        </is>
      </c>
      <c r="D100" s="13" t="inlineStr">
        <is>
          <t>DK</t>
        </is>
      </c>
      <c r="E100" s="13" t="n">
        <v>2025</v>
      </c>
      <c r="F100" s="16" t="n">
        <v>74.52</v>
      </c>
      <c r="G100" s="13" t="inlineStr">
        <is>
          <t>%</t>
        </is>
      </c>
      <c r="H100" s="15" t="inlineStr">
        <is>
          <t>% of large enterprises (250+)</t>
        </is>
      </c>
      <c r="I100" s="13" t="inlineStr"/>
      <c r="J100" s="14" t="inlineStr">
        <is>
          <t>EC1</t>
        </is>
      </c>
      <c r="K100" s="13" t="inlineStr">
        <is>
          <t>2026-09-12</t>
        </is>
      </c>
      <c r="L100" s="15" t="inlineStr"/>
    </row>
    <row r="101">
      <c r="A101" s="13" t="n">
        <v>100</v>
      </c>
      <c r="B101" s="14" t="inlineStr">
        <is>
          <t>DK.ENT.AI.SME</t>
        </is>
      </c>
      <c r="C101" s="15" t="inlineStr">
        <is>
          <t>SMEs adopting AI</t>
        </is>
      </c>
      <c r="D101" s="13" t="inlineStr">
        <is>
          <t>DK</t>
        </is>
      </c>
      <c r="E101" s="13" t="n">
        <v>2025</v>
      </c>
      <c r="F101" s="16" t="n">
        <v>40.99</v>
      </c>
      <c r="G101" s="13" t="inlineStr">
        <is>
          <t>%</t>
        </is>
      </c>
      <c r="H101" s="15" t="inlineStr">
        <is>
          <t>% of SMEs (10-249)</t>
        </is>
      </c>
      <c r="I101" s="13" t="inlineStr"/>
      <c r="J101" s="14" t="inlineStr">
        <is>
          <t>EC1</t>
        </is>
      </c>
      <c r="K101" s="13" t="inlineStr">
        <is>
          <t>2026-09-12</t>
        </is>
      </c>
      <c r="L101" s="15" t="inlineStr"/>
    </row>
    <row r="102">
      <c r="A102" s="13" t="n">
        <v>101</v>
      </c>
      <c r="B102" s="14" t="inlineStr">
        <is>
          <t>DK.GOV.DPS.CIT</t>
        </is>
      </c>
      <c r="C102" s="15" t="inlineStr">
        <is>
          <t>Digital public services for citizens (score)</t>
        </is>
      </c>
      <c r="D102" s="13" t="inlineStr">
        <is>
          <t>DK</t>
        </is>
      </c>
      <c r="E102" s="13" t="n">
        <v>2025</v>
      </c>
      <c r="F102" s="16" t="n">
        <v>82.2</v>
      </c>
      <c r="G102" s="13" t="inlineStr">
        <is>
          <t>score 0-100</t>
        </is>
      </c>
      <c r="H102" s="15" t="inlineStr">
        <is>
          <t>eGovernment Benchmark score</t>
        </is>
      </c>
      <c r="I102" s="13" t="inlineStr"/>
      <c r="J102" s="14" t="inlineStr">
        <is>
          <t>EC1</t>
        </is>
      </c>
      <c r="K102" s="13" t="inlineStr">
        <is>
          <t>2026-09-12</t>
        </is>
      </c>
      <c r="L102" s="15" t="inlineStr">
        <is>
          <t>BELOW the EU average of 84.64.</t>
        </is>
      </c>
    </row>
    <row r="103">
      <c r="A103" s="13" t="n">
        <v>102</v>
      </c>
      <c r="B103" s="14" t="inlineStr">
        <is>
          <t>EU.GOV.DPS.CIT</t>
        </is>
      </c>
      <c r="C103" s="15" t="inlineStr">
        <is>
          <t>Digital public services for citizens (score)</t>
        </is>
      </c>
      <c r="D103" s="13" t="inlineStr">
        <is>
          <t>EU27</t>
        </is>
      </c>
      <c r="E103" s="13" t="n">
        <v>2025</v>
      </c>
      <c r="F103" s="16" t="n">
        <v>84.64</v>
      </c>
      <c r="G103" s="13" t="inlineStr">
        <is>
          <t>score 0-100</t>
        </is>
      </c>
      <c r="H103" s="15" t="inlineStr">
        <is>
          <t>eGovernment Benchmark score</t>
        </is>
      </c>
      <c r="I103" s="13" t="inlineStr"/>
      <c r="J103" s="14" t="inlineStr">
        <is>
          <t>EC1</t>
        </is>
      </c>
      <c r="K103" s="13" t="inlineStr">
        <is>
          <t>2026-09-12</t>
        </is>
      </c>
      <c r="L103" s="15" t="inlineStr"/>
    </row>
    <row r="104">
      <c r="A104" s="13" t="n">
        <v>103</v>
      </c>
      <c r="B104" s="14" t="inlineStr">
        <is>
          <t>DK.GOV.DPS.XB</t>
        </is>
      </c>
      <c r="C104" s="15" t="inlineStr">
        <is>
          <t>Cross-border digital public services, citizens (score)</t>
        </is>
      </c>
      <c r="D104" s="13" t="inlineStr">
        <is>
          <t>DK</t>
        </is>
      </c>
      <c r="E104" s="13" t="n">
        <v>2025</v>
      </c>
      <c r="F104" s="16" t="n">
        <v>64.40000000000001</v>
      </c>
      <c r="G104" s="13" t="inlineStr">
        <is>
          <t>score 0-100</t>
        </is>
      </c>
      <c r="H104" s="15" t="inlineStr">
        <is>
          <t>eGovernment Benchmark score</t>
        </is>
      </c>
      <c r="I104" s="13" t="inlineStr"/>
      <c r="J104" s="14" t="inlineStr">
        <is>
          <t>EC1</t>
        </is>
      </c>
      <c r="K104" s="13" t="inlineStr">
        <is>
          <t>2026-09-12</t>
        </is>
      </c>
      <c r="L104" s="15" t="inlineStr">
        <is>
          <t>EU average 75.28.</t>
        </is>
      </c>
    </row>
    <row r="105">
      <c r="A105" s="13" t="n">
        <v>104</v>
      </c>
      <c r="B105" s="14" t="inlineStr">
        <is>
          <t>DK.ENV.WEEE</t>
        </is>
      </c>
      <c r="C105" s="15" t="inlineStr">
        <is>
          <t>ICT waste recycled or prepared for reuse</t>
        </is>
      </c>
      <c r="D105" s="13" t="inlineStr">
        <is>
          <t>DK</t>
        </is>
      </c>
      <c r="E105" s="13" t="n">
        <v>2023</v>
      </c>
      <c r="F105" s="16" t="n">
        <v>15.37</v>
      </c>
      <c r="G105" s="13" t="inlineStr">
        <is>
          <t>%</t>
        </is>
      </c>
      <c r="H105" s="15" t="inlineStr">
        <is>
          <t>% of ICT-related WEEE collected</t>
        </is>
      </c>
      <c r="I105" s="13" t="inlineStr"/>
      <c r="J105" s="14" t="inlineStr">
        <is>
          <t>EC1</t>
        </is>
      </c>
      <c r="K105" s="13" t="inlineStr">
        <is>
          <t>2026-09-12</t>
        </is>
      </c>
      <c r="L105" s="15" t="inlineStr">
        <is>
          <t>Among the lowest in the EU; EU average 80.23%.</t>
        </is>
      </c>
    </row>
    <row r="106">
      <c r="A106" s="13" t="n">
        <v>105</v>
      </c>
      <c r="B106" s="14" t="inlineStr">
        <is>
          <t>EU.ENV.WEEE</t>
        </is>
      </c>
      <c r="C106" s="15" t="inlineStr">
        <is>
          <t>ICT waste recycled or prepared for reuse</t>
        </is>
      </c>
      <c r="D106" s="13" t="inlineStr">
        <is>
          <t>EU27</t>
        </is>
      </c>
      <c r="E106" s="13" t="n">
        <v>2023</v>
      </c>
      <c r="F106" s="16" t="n">
        <v>80.23</v>
      </c>
      <c r="G106" s="13" t="inlineStr">
        <is>
          <t>%</t>
        </is>
      </c>
      <c r="H106" s="15" t="inlineStr">
        <is>
          <t>% of ICT-related WEEE collected</t>
        </is>
      </c>
      <c r="I106" s="13" t="inlineStr"/>
      <c r="J106" s="14" t="inlineStr">
        <is>
          <t>EC1</t>
        </is>
      </c>
      <c r="K106" s="13" t="inlineStr">
        <is>
          <t>2026-09-12</t>
        </is>
      </c>
      <c r="L106" s="15" t="inlineStr"/>
    </row>
    <row r="107">
      <c r="A107" s="18" t="n">
        <v>106</v>
      </c>
      <c r="B107" s="19" t="inlineStr">
        <is>
          <t>DK.SME.SMVD.PROJ</t>
        </is>
      </c>
      <c r="C107" s="20" t="inlineStr">
        <is>
          <t>SMV:Digital projects supported since 2018</t>
        </is>
      </c>
      <c r="D107" s="18" t="inlineStr">
        <is>
          <t>DK</t>
        </is>
      </c>
      <c r="E107" s="18" t="n">
        <v>2025</v>
      </c>
      <c r="F107" s="21" t="n">
        <v>7000</v>
      </c>
      <c r="G107" s="18" t="inlineStr">
        <is>
          <t>count</t>
        </is>
      </c>
      <c r="H107" s="20" t="inlineStr">
        <is>
          <t>digitalisation projects</t>
        </is>
      </c>
      <c r="I107" s="18" t="inlineStr">
        <is>
          <t>e</t>
        </is>
      </c>
      <c r="J107" s="19" t="inlineStr">
        <is>
          <t>DG3</t>
        </is>
      </c>
      <c r="K107" s="18" t="inlineStr">
        <is>
          <t>2026-09-12</t>
        </is>
      </c>
      <c r="L107" s="20" t="inlineStr">
        <is>
          <t>Source states 'knap 7.000' (just under 7,000).</t>
        </is>
      </c>
    </row>
    <row r="108">
      <c r="A108" s="13" t="n">
        <v>107</v>
      </c>
      <c r="B108" s="14" t="inlineStr">
        <is>
          <t>DK.SME.SMVD.INV</t>
        </is>
      </c>
      <c r="C108" s="15" t="inlineStr">
        <is>
          <t>Participants who invested further during the project</t>
        </is>
      </c>
      <c r="D108" s="13" t="inlineStr">
        <is>
          <t>DK</t>
        </is>
      </c>
      <c r="E108" s="13" t="n">
        <v>2025</v>
      </c>
      <c r="F108" s="16" t="n">
        <v>65</v>
      </c>
      <c r="G108" s="13" t="inlineStr">
        <is>
          <t>%</t>
        </is>
      </c>
      <c r="H108" s="15" t="inlineStr">
        <is>
          <t>% of participating enterprises</t>
        </is>
      </c>
      <c r="I108" s="13" t="inlineStr"/>
      <c r="J108" s="14" t="inlineStr">
        <is>
          <t>DG3</t>
        </is>
      </c>
      <c r="K108" s="13" t="inlineStr">
        <is>
          <t>2026-09-12</t>
        </is>
      </c>
      <c r="L108" s="15" t="inlineStr"/>
    </row>
    <row r="109">
      <c r="A109" s="13" t="n">
        <v>108</v>
      </c>
      <c r="B109" s="14" t="inlineStr">
        <is>
          <t>DK.SME.SMVD.NOINV</t>
        </is>
      </c>
      <c r="C109" s="15" t="inlineStr">
        <is>
          <t>Participants with no further investment plans</t>
        </is>
      </c>
      <c r="D109" s="13" t="inlineStr">
        <is>
          <t>DK</t>
        </is>
      </c>
      <c r="E109" s="13" t="n">
        <v>2025</v>
      </c>
      <c r="F109" s="16" t="n">
        <v>2</v>
      </c>
      <c r="G109" s="13" t="inlineStr">
        <is>
          <t>%</t>
        </is>
      </c>
      <c r="H109" s="15" t="inlineStr">
        <is>
          <t>% of participating enterprises</t>
        </is>
      </c>
      <c r="I109" s="13" t="inlineStr"/>
      <c r="J109" s="14" t="inlineStr">
        <is>
          <t>DG3</t>
        </is>
      </c>
      <c r="K109" s="13" t="inlineStr">
        <is>
          <t>2026-09-12</t>
        </is>
      </c>
      <c r="L109" s="15" t="inlineStr"/>
    </row>
    <row r="110">
      <c r="A110" s="13" t="n">
        <v>109</v>
      </c>
      <c r="B110" s="14" t="inlineStr">
        <is>
          <t>DK.POP.TOT</t>
        </is>
      </c>
      <c r="C110" s="15" t="inlineStr">
        <is>
          <t>Resident population</t>
        </is>
      </c>
      <c r="D110" s="13" t="inlineStr">
        <is>
          <t>DK</t>
        </is>
      </c>
      <c r="E110" s="13" t="n">
        <v>2026</v>
      </c>
      <c r="F110" s="17" t="n">
        <v>6025603</v>
      </c>
      <c r="G110" s="13" t="inlineStr">
        <is>
          <t>count</t>
        </is>
      </c>
      <c r="H110" s="15" t="inlineStr">
        <is>
          <t>persons resident in Denmark</t>
        </is>
      </c>
      <c r="I110" s="13" t="inlineStr"/>
      <c r="J110" s="14" t="inlineStr">
        <is>
          <t>DST2</t>
        </is>
      </c>
      <c r="K110" s="13" t="inlineStr">
        <is>
          <t>2026-09-12</t>
        </is>
      </c>
      <c r="L110" s="15" t="inlineStr">
        <is>
          <t>As at 1 January 2026.</t>
        </is>
      </c>
    </row>
    <row r="111">
      <c r="A111" s="18" t="n">
        <v>110</v>
      </c>
      <c r="B111" s="19" t="inlineStr">
        <is>
          <t>DK.DGP.EXMP.N</t>
        </is>
      </c>
      <c r="C111" s="20" t="inlineStr">
        <is>
          <t>Citizens formally exempt from Digital Post</t>
        </is>
      </c>
      <c r="D111" s="18" t="inlineStr">
        <is>
          <t>DK</t>
        </is>
      </c>
      <c r="E111" s="18" t="n">
        <v>2025</v>
      </c>
      <c r="F111" s="21" t="n">
        <v>256000</v>
      </c>
      <c r="G111" s="18" t="inlineStr">
        <is>
          <t>count</t>
        </is>
      </c>
      <c r="H111" s="20" t="inlineStr">
        <is>
          <t>citizens aged 15+ resident in Denmark</t>
        </is>
      </c>
      <c r="I111" s="18" t="inlineStr">
        <is>
          <t>e</t>
        </is>
      </c>
      <c r="J111" s="19" t="inlineStr">
        <is>
          <t>DG1</t>
        </is>
      </c>
      <c r="K111" s="18" t="inlineStr">
        <is>
          <t>2026-09-12</t>
        </is>
      </c>
      <c r="L111" s="20" t="inlineStr">
        <is>
          <t>April 2025; source states approx. 256,000.</t>
        </is>
      </c>
    </row>
    <row r="112">
      <c r="A112" s="13" t="n">
        <v>111</v>
      </c>
      <c r="B112" s="14" t="inlineStr">
        <is>
          <t>DK.DGP.EXMP.N</t>
        </is>
      </c>
      <c r="C112" s="15" t="inlineStr">
        <is>
          <t>Citizens formally exempt from Digital Post</t>
        </is>
      </c>
      <c r="D112" s="13" t="inlineStr">
        <is>
          <t>DK</t>
        </is>
      </c>
      <c r="E112" s="13" t="n">
        <v>2026</v>
      </c>
      <c r="F112" s="17" t="n">
        <v>238479</v>
      </c>
      <c r="G112" s="13" t="inlineStr">
        <is>
          <t>count</t>
        </is>
      </c>
      <c r="H112" s="15" t="inlineStr">
        <is>
          <t>citizens aged 15+ resident in Denmark</t>
        </is>
      </c>
      <c r="I112" s="13" t="inlineStr"/>
      <c r="J112" s="14" t="inlineStr">
        <is>
          <t>DG1</t>
        </is>
      </c>
      <c r="K112" s="13" t="inlineStr">
        <is>
          <t>2026-09-12</t>
        </is>
      </c>
      <c r="L112" s="15" t="inlineStr">
        <is>
          <t>Q1 2026. Paired with the 4.7% rate, implies a 15+ base of about 5.07m.</t>
        </is>
      </c>
    </row>
    <row r="113">
      <c r="A113" s="18" t="n">
        <v>112</v>
      </c>
      <c r="B113" s="19" t="inlineStr">
        <is>
          <t>DK.GOV.DGP.SAVE.PLAN</t>
        </is>
      </c>
      <c r="C113" s="20" t="inlineStr">
        <is>
          <t>Digital Post: projected annual public saving</t>
        </is>
      </c>
      <c r="D113" s="18" t="inlineStr">
        <is>
          <t>DK</t>
        </is>
      </c>
      <c r="E113" s="18" t="n">
        <v>2016</v>
      </c>
      <c r="F113" s="22" t="n">
        <v>1000</v>
      </c>
      <c r="G113" s="18" t="inlineStr">
        <is>
          <t>million DKK per year</t>
        </is>
      </c>
      <c r="H113" s="20" t="inlineStr">
        <is>
          <t>projected annual saving, whole public sector</t>
        </is>
      </c>
      <c r="I113" s="18" t="inlineStr">
        <is>
          <t>e</t>
        </is>
      </c>
      <c r="J113" s="19" t="inlineStr">
        <is>
          <t>RR1</t>
        </is>
      </c>
      <c r="K113" s="18" t="inlineStr">
        <is>
          <t>2026-09-12</t>
        </is>
      </c>
      <c r="L113" s="20" t="inlineStr">
        <is>
          <t>Ministry of Finance business case; Rigsrevisionen reports it as 'approx. 1bn'.</t>
        </is>
      </c>
    </row>
    <row r="114">
      <c r="A114" s="18" t="n">
        <v>113</v>
      </c>
      <c r="B114" s="19" t="inlineStr">
        <is>
          <t>DK.GOV.DGP.SAVE.VERIF</t>
        </is>
      </c>
      <c r="C114" s="20" t="inlineStr">
        <is>
          <t>Digital Post: annual saving verifiable by audit</t>
        </is>
      </c>
      <c r="D114" s="18" t="inlineStr">
        <is>
          <t>DK</t>
        </is>
      </c>
      <c r="E114" s="18" t="n">
        <v>2016</v>
      </c>
      <c r="F114" s="22" t="n">
        <v>450</v>
      </c>
      <c r="G114" s="18" t="inlineStr">
        <is>
          <t>million DKK per year</t>
        </is>
      </c>
      <c r="H114" s="20" t="inlineStr">
        <is>
          <t>verified annual saving, whole public sector</t>
        </is>
      </c>
      <c r="I114" s="18" t="inlineStr">
        <is>
          <t>e</t>
        </is>
      </c>
      <c r="J114" s="19" t="inlineStr">
        <is>
          <t>RR1</t>
        </is>
      </c>
      <c r="K114" s="18" t="inlineStr">
        <is>
          <t>2026-09-12</t>
        </is>
      </c>
      <c r="L114" s="20" t="inlineStr">
        <is>
          <t>Postage, paper and envelopes only. The wage and overhead component was never verified: the cross-government study was abandoned after KL declined to take part.</t>
        </is>
      </c>
    </row>
  </sheetData>
  <autoFilter ref="A1:L11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NB2</t>
        </is>
      </c>
      <c r="B3" s="15" t="inlineStr">
        <is>
          <t>Danmarks Nationalbank</t>
        </is>
      </c>
      <c r="C3" s="15" t="inlineStr">
        <is>
          <t>[REFERENCE ONLY - supports argument in the report; no workbook value depends on it] Danskerne betaler mere digitalt – det gør offline-betalinger endnu vigtigere som beredskab (press release, 26 June 2026)</t>
        </is>
      </c>
      <c r="D3" s="15" t="inlineStr"/>
      <c r="E3" s="15" t="inlineStr">
        <is>
          <t>https://www.nationalbanken.dk/da/viden-og-nyheder/presse/arkiv/2026/danskerne-betaler-mere-digitalt-det-goer-offline-betalinger-endnu-vigtigere-som-beredskab-26-06-2026</t>
        </is>
      </c>
      <c r="F3" s="15" t="inlineStr">
        <is>
          <t>2026-09-12</t>
        </is>
      </c>
      <c r="G3" s="15" t="inlineStr">
        <is>
          <t>Danmarks Nationalbank 2026, Danskerne betaler mere digitalt – det gør offline-betalinger endnu vigtigere som beredskab, press release, 26 June, Danmarks Nationalbank, Copenhagen, accessed 12 September 2026.</t>
        </is>
      </c>
    </row>
    <row r="4" ht="46" customHeight="1">
      <c r="A4" s="23" t="inlineStr">
        <is>
          <t>FD1</t>
        </is>
      </c>
      <c r="B4" s="15" t="inlineStr">
        <is>
          <t>Finans Danmark</t>
        </is>
      </c>
      <c r="C4" s="15" t="inlineStr">
        <is>
          <t>Institutter, filialer &amp; ansatte</t>
        </is>
      </c>
      <c r="D4" s="15" t="inlineStr"/>
      <c r="E4" s="15" t="inlineStr">
        <is>
          <t>https://finansdanmark.dk/tal-og-data/institutter-filialer-ansatte/</t>
        </is>
      </c>
      <c r="F4" s="15" t="inlineStr">
        <is>
          <t>2026-09-12</t>
        </is>
      </c>
      <c r="G4" s="15" t="inlineStr">
        <is>
          <t>Finans Danmark 2025, Institutter, filialer &amp; ansatte, Finans Danmark, Copenhagen, accessed 12 September 2026, &lt;https://finansdanmark.dk/tal-og-data/institutter-filialer-ansatte/&gt;.</t>
        </is>
      </c>
    </row>
    <row r="5" ht="46" customHeight="1">
      <c r="A5" s="23" t="inlineStr">
        <is>
          <t>ES1</t>
        </is>
      </c>
      <c r="B5" s="15" t="inlineStr">
        <is>
          <t>Eurostat</t>
        </is>
      </c>
      <c r="C5" s="15" t="inlineStr">
        <is>
          <t>E-commerce statistics for individuals (Statistics Explained)</t>
        </is>
      </c>
      <c r="D5" s="15" t="inlineStr">
        <is>
          <t>isoc_ec_ib20 / isoc_ec_ibuy</t>
        </is>
      </c>
      <c r="E5" s="15" t="inlineStr">
        <is>
          <t>https://ec.europa.eu/eurostat/statistics-explained/index.php?title=E-commerce_statistics_for_individuals</t>
        </is>
      </c>
      <c r="F5" s="15" t="inlineStr">
        <is>
          <t>2026-09-12</t>
        </is>
      </c>
      <c r="G5" s="15" t="inlineStr">
        <is>
          <t>Eurostat 2025, E-commerce statistics for individuals, Statistics Explained, European Commission, Luxembourg, accessed 12 September 2026.</t>
        </is>
      </c>
    </row>
    <row r="6" ht="46" customHeight="1">
      <c r="A6" s="23" t="inlineStr">
        <is>
          <t>ES2</t>
        </is>
      </c>
      <c r="B6" s="15" t="inlineStr">
        <is>
          <t>Eurostat</t>
        </is>
      </c>
      <c r="C6" s="15" t="inlineStr">
        <is>
          <t>Online shopping ever more popular in 2020 (ddn-20210217-1)</t>
        </is>
      </c>
      <c r="D6" s="15" t="inlineStr">
        <is>
          <t>isoc_ec_ib20</t>
        </is>
      </c>
      <c r="E6" s="15" t="inlineStr">
        <is>
          <t>https://ec.europa.eu/eurostat/web/products-eurostat-news/-/ddn-20210217-1</t>
        </is>
      </c>
      <c r="F6" s="15" t="inlineStr">
        <is>
          <t>2026-09-12</t>
        </is>
      </c>
      <c r="G6" s="15" t="inlineStr">
        <is>
          <t>Eurostat 2021, Online shopping ever more popular in 2020, European Commission, Luxembourg, accessed 12 September 2026.</t>
        </is>
      </c>
    </row>
    <row r="7" ht="46" customHeight="1">
      <c r="A7" s="23" t="inlineStr">
        <is>
          <t>ES3</t>
        </is>
      </c>
      <c r="B7" s="15" t="inlineStr">
        <is>
          <t>Eurostat</t>
        </is>
      </c>
      <c r="C7" s="15" t="inlineStr">
        <is>
          <t>Online shopping ever more popular (ddn-20220202-1)</t>
        </is>
      </c>
      <c r="D7" s="15" t="inlineStr">
        <is>
          <t>isoc_ec_ib20</t>
        </is>
      </c>
      <c r="E7" s="15" t="inlineStr">
        <is>
          <t>https://ec.europa.eu/eurostat/web/products-eurostat-news/-/ddn-20220202-1</t>
        </is>
      </c>
      <c r="F7" s="15" t="inlineStr">
        <is>
          <t>2026-09-12</t>
        </is>
      </c>
      <c r="G7" s="15" t="inlineStr">
        <is>
          <t>Eurostat 2022, Online shopping ever more popular, European Commission, Luxembourg, accessed 12 September 2026.</t>
        </is>
      </c>
    </row>
    <row r="8" ht="46" customHeight="1">
      <c r="A8" s="23" t="inlineStr">
        <is>
          <t>ES4</t>
        </is>
      </c>
      <c r="B8" s="15" t="inlineStr">
        <is>
          <t>Eurostat</t>
        </is>
      </c>
      <c r="C8" s="15" t="inlineStr">
        <is>
          <t>E-commerce statistics for individuals, 2024 reference year (ddn-20250220-3)</t>
        </is>
      </c>
      <c r="D8" s="15" t="inlineStr">
        <is>
          <t>isoc_ec_ib20</t>
        </is>
      </c>
      <c r="E8" s="15" t="inlineStr">
        <is>
          <t>https://ec.europa.eu/eurostat/web/products-eurostat-news/w/ddn-20250220-3</t>
        </is>
      </c>
      <c r="F8" s="15" t="inlineStr">
        <is>
          <t>2026-09-12</t>
        </is>
      </c>
      <c r="G8" s="15" t="inlineStr">
        <is>
          <t>Eurostat 2025, E-commerce statistics for individuals, European Commission, Luxembourg, accessed 12 September 2026.</t>
        </is>
      </c>
    </row>
    <row r="9" ht="46" customHeight="1">
      <c r="A9" s="23" t="inlineStr">
        <is>
          <t>ES5</t>
        </is>
      </c>
      <c r="B9" s="15" t="inlineStr">
        <is>
          <t>Eurostat</t>
        </is>
      </c>
      <c r="C9" s="15" t="inlineStr">
        <is>
          <t>EU enterprises' online sales reach new heights in 2023 (ddn-20250227-2)</t>
        </is>
      </c>
      <c r="D9" s="15" t="inlineStr">
        <is>
          <t>isoc_ec_evaln2 / tin00110</t>
        </is>
      </c>
      <c r="E9" s="15" t="inlineStr">
        <is>
          <t>https://ec.europa.eu/eurostat/web/products-eurostat-news/w/ddn-20250227-2</t>
        </is>
      </c>
      <c r="F9" s="15" t="inlineStr">
        <is>
          <t>2026-09-12</t>
        </is>
      </c>
      <c r="G9" s="15" t="inlineStr">
        <is>
          <t>Eurostat 2025, EU enterprises' online sales reach new heights, European Commission, Luxembourg, accessed 12 September 2026.</t>
        </is>
      </c>
    </row>
    <row r="10" ht="46" customHeight="1">
      <c r="A10" s="23" t="inlineStr">
        <is>
          <t>ES6</t>
        </is>
      </c>
      <c r="B10" s="15" t="inlineStr">
        <is>
          <t>Eurostat</t>
        </is>
      </c>
      <c r="C10" s="15" t="inlineStr">
        <is>
          <t>Share of enterprises' turnover on e-commerce, by country (country-level values retrieved via search of the Eurostat indicator)</t>
        </is>
      </c>
      <c r="D10" s="15" t="inlineStr">
        <is>
          <t>tin00110</t>
        </is>
      </c>
      <c r="E10" s="15" t="inlineStr">
        <is>
          <t>https://ec.europa.eu/eurostat/databrowser/view/tin00110/default/table?lang=en</t>
        </is>
      </c>
      <c r="F10" s="15" t="inlineStr">
        <is>
          <t>2026-09-12</t>
        </is>
      </c>
      <c r="G10" s="15" t="inlineStr">
        <is>
          <t>Eurostat 2025, Share of enterprises' turnover on e-commerce (tin00110), European Commission, Luxembourg, accessed 12 September 2026.</t>
        </is>
      </c>
    </row>
    <row r="11" ht="46" customHeight="1">
      <c r="A11" s="23" t="inlineStr">
        <is>
          <t>EC1</t>
        </is>
      </c>
      <c r="B11" s="15" t="inlineStr">
        <is>
          <t>European Commission</t>
        </is>
      </c>
      <c r="C11" s="15" t="inlineStr">
        <is>
          <t>Digital Decade 2026 country report: Denmark, SWD(2026) 155 final, Part 7/27, 17 June 2026</t>
        </is>
      </c>
      <c r="D11" s="15" t="inlineStr">
        <is>
          <t>DESI 2026</t>
        </is>
      </c>
      <c r="E11" s="15" t="inlineStr">
        <is>
          <t>https://digital-strategy.ec.europa.eu/en/policies/desi</t>
        </is>
      </c>
      <c r="F11" s="15" t="inlineStr">
        <is>
          <t>2026-09-12</t>
        </is>
      </c>
      <c r="G11" s="15" t="inlineStr">
        <is>
          <t>European Commission 2026, Digital Decade 2026 country report: Denmark, SWD(2026) 155 final, Part 7/27, European Commission, Brussels.</t>
        </is>
      </c>
    </row>
    <row r="12" ht="46" customHeight="1">
      <c r="A12" s="23" t="inlineStr">
        <is>
          <t>DG1</t>
        </is>
      </c>
      <c r="B12" s="15" t="inlineStr">
        <is>
          <t>Digitaliseringsstyrelsen (Danish Agency for Digital Government)</t>
        </is>
      </c>
      <c r="C12" s="15" t="inlineStr">
        <is>
          <t>Statistik om Digital Post</t>
        </is>
      </c>
      <c r="D12" s="15" t="inlineStr"/>
      <c r="E12" s="15" t="inlineStr">
        <is>
          <t>https://digst.dk/tal-og-statistik/</t>
        </is>
      </c>
      <c r="F12" s="15" t="inlineStr">
        <is>
          <t>2026-09-12</t>
        </is>
      </c>
      <c r="G12" s="15" t="inlineStr">
        <is>
          <t>Digitaliseringsstyrelsen 2026, Statistik om Digital Post, Agency for Digital Government, Copenhagen, accessed 12 September 2026.</t>
        </is>
      </c>
    </row>
    <row r="13" ht="46" customHeight="1">
      <c r="A13" s="23" t="inlineStr">
        <is>
          <t>DG2</t>
        </is>
      </c>
      <c r="B13" s="15" t="inlineStr">
        <is>
          <t>Digitaliseringsstyrelsen (Danish Agency for Digital Government)</t>
        </is>
      </c>
      <c r="C13" s="15" t="inlineStr">
        <is>
          <t>Hvem oplever udfordringer ved det digitale?</t>
        </is>
      </c>
      <c r="D13" s="15" t="inlineStr"/>
      <c r="E13" s="15" t="inlineStr">
        <is>
          <t>https://digst.dk/digital-inklusion/viden-om-digital-inklusion/hvem-oplever-udfordringer-ved-det-digitale/</t>
        </is>
      </c>
      <c r="F13" s="15" t="inlineStr">
        <is>
          <t>2026-09-12</t>
        </is>
      </c>
      <c r="G13" s="15" t="inlineStr">
        <is>
          <t>Digitaliseringsstyrelsen 2025, Hvem oplever udfordringer ved det digitale?, Agency for Digital Government, Copenhagen, accessed 12 September 2026.</t>
        </is>
      </c>
    </row>
    <row r="14" ht="46" customHeight="1">
      <c r="A14" s="23" t="inlineStr">
        <is>
          <t>DG3</t>
        </is>
      </c>
      <c r="B14" s="15" t="inlineStr">
        <is>
          <t>Digitaliseringsstyrelsen / Danmarks Statistik</t>
        </is>
      </c>
      <c r="C14" s="15" t="inlineStr">
        <is>
          <t>Effektmåling af SMV:Digital, June 2025</t>
        </is>
      </c>
      <c r="D14" s="15" t="inlineStr"/>
      <c r="E14" s="15" t="inlineStr">
        <is>
          <t>https://digst.dk/media/yz2ouzzz/effektmaaling-af-smvdigital-2025.pdf</t>
        </is>
      </c>
      <c r="F14" s="15" t="inlineStr">
        <is>
          <t>2026-09-12</t>
        </is>
      </c>
      <c r="G14" s="15" t="inlineStr">
        <is>
          <t>Digitaliseringsstyrelsen 2025, Effektmåling af SMV:Digital, prepared by Danmarks Statistik, Agency for Digital Government, Copenhagen, accessed 12 September 2026.</t>
        </is>
      </c>
    </row>
    <row r="15" ht="46" customHeight="1">
      <c r="A15" s="23" t="inlineStr">
        <is>
          <t>JU1</t>
        </is>
      </c>
      <c r="B15" s="15" t="inlineStr">
        <is>
          <t>Justitia (independent Danish legal think tank)</t>
        </is>
      </c>
      <c r="C15" s="15" t="inlineStr">
        <is>
          <t>Retssikkerhed for digitalt udsatte borgere, July 2022</t>
        </is>
      </c>
      <c r="D15" s="15" t="inlineStr">
        <is>
          <t>Folketinget DIU Alm.del bilag 32</t>
        </is>
      </c>
      <c r="E15" s="15" t="inlineStr">
        <is>
          <t>https://justitia-int.org/wp-content/uploads/2022/09/Rapport_Retssikkerhed-for-digitalt-udsatte-borgere-1.pdf</t>
        </is>
      </c>
      <c r="F15" s="15" t="inlineStr">
        <is>
          <t>2026-09-12</t>
        </is>
      </c>
      <c r="G15" s="15" t="inlineStr">
        <is>
          <t>Justitia 2022, Retssikkerhed for digitalt udsatte borgere, Justitia, Copenhagen, accessed 12 September 2026.</t>
        </is>
      </c>
    </row>
    <row r="16" ht="46" customHeight="1">
      <c r="A16" s="23" t="inlineStr">
        <is>
          <t>IMR1</t>
        </is>
      </c>
      <c r="B16" s="15" t="inlineStr">
        <is>
          <t>Institut for Menneskerettigheder (Danish Institute for Human Rights)</t>
        </is>
      </c>
      <c r="C16" s="15" t="inlineStr">
        <is>
          <t>[REFERENCE ONLY - supports argument in the report; no workbook value depends on it] Rettigheder i den digitale velfærdsstat, December 2023</t>
        </is>
      </c>
      <c r="D16" s="15" t="inlineStr"/>
      <c r="E16" s="15" t="inlineStr">
        <is>
          <t>https://menneskeret.dk/sites/menneskeret.dk/files/media/document/Rettigheder%20i%20den%20digitale%20velf%C3%A6rdsstat.%20Analyse,%20Institut%20for%20Menneskerettigheder,%20december%202023.PDF</t>
        </is>
      </c>
      <c r="F16" s="15" t="inlineStr">
        <is>
          <t>2026-09-12</t>
        </is>
      </c>
      <c r="G16" s="15" t="inlineStr">
        <is>
          <t>Institut for Menneskerettigheder 2023, Rettigheder i den digitale velfaerdsstat, Danish Institute for Human Rights, Copenhagen, accessed 12 September 2026.</t>
        </is>
      </c>
    </row>
    <row r="17" ht="46" customHeight="1">
      <c r="A17" s="23" t="inlineStr">
        <is>
          <t>RI1</t>
        </is>
      </c>
      <c r="B17" s="15" t="inlineStr">
        <is>
          <t>Retsinformation (Danish official legal information portal)</t>
        </is>
      </c>
      <c r="C17" s="15" t="inlineStr">
        <is>
          <t>Lov om Offentlig Digital Post, LOV nr 528 af 11/06/2012</t>
        </is>
      </c>
      <c r="D17" s="15" t="inlineStr">
        <is>
          <t>ELI: lta/2012/528</t>
        </is>
      </c>
      <c r="E17" s="15" t="inlineStr">
        <is>
          <t>https://www.retsinformation.dk/eli/lta/2012/528</t>
        </is>
      </c>
      <c r="F17" s="15" t="inlineStr">
        <is>
          <t>2026-09-12</t>
        </is>
      </c>
      <c r="G17" s="15" t="inlineStr">
        <is>
          <t>Denmark 2012, Lov om Offentlig Digital Post (LOV nr 528 af 11/06/2012), Retsinformation, Copenhagen, accessed 12 September 2026.</t>
        </is>
      </c>
    </row>
    <row r="18" ht="46" customHeight="1">
      <c r="A18" s="23" t="inlineStr">
        <is>
          <t>RR1</t>
        </is>
      </c>
      <c r="B18" s="15" t="inlineStr">
        <is>
          <t>Rigsrevisionen (Danish National Audit Office)</t>
        </is>
      </c>
      <c r="C18" s="15" t="inlineStr">
        <is>
          <t>Beretning om besparelsespotentialet ved obligatorisk Digital Post på ca. 1 mia. kr. om året, January 2016</t>
        </is>
      </c>
      <c r="D18" s="15" t="inlineStr"/>
      <c r="E18" s="15" t="inlineStr">
        <is>
          <t>https://www.rigsrevisionen.dk/revisionssager-arkiv/2016/jan/beretning-om-besparelsespotentialet-ved-obligatorisk-digital-post-paa-ca-1-mia-kr-om-aaret</t>
        </is>
      </c>
      <c r="F18" s="15" t="inlineStr">
        <is>
          <t>2026-09-12</t>
        </is>
      </c>
      <c r="G18" s="15" t="inlineStr">
        <is>
          <t>Rigsrevisionen 2016, Beretning om besparelsespotentialet ved obligatorisk Digital Post på ca. 1 mia. kr. om året, National Audit Office of Denmark, Copenhagen, accessed 12 September 2026.</t>
        </is>
      </c>
    </row>
    <row r="19" ht="46" customHeight="1">
      <c r="A19" s="23" t="inlineStr">
        <is>
          <t>RI2</t>
        </is>
      </c>
      <c r="B19" s="15" t="inlineStr">
        <is>
          <t>Finanstilsynet (Danish Financial Supervisory Authority)</t>
        </is>
      </c>
      <c r="C19" s="15" t="inlineStr">
        <is>
          <t>Kontantreglen – lov om betalinger § 81</t>
        </is>
      </c>
      <c r="D19" s="15" t="inlineStr">
        <is>
          <t>Lov om betalinger, § 81</t>
        </is>
      </c>
      <c r="E19" s="15" t="inlineStr">
        <is>
          <t>https://www.finanstilsynet.dk/finansielle-temaer/betalingstjenester-og-e-penge/kontantreglen</t>
        </is>
      </c>
      <c r="F19" s="15" t="inlineStr">
        <is>
          <t>2026-09-12</t>
        </is>
      </c>
      <c r="G19" s="15" t="inlineStr">
        <is>
          <t>Finanstilsynet 2025, Kontantreglen, Danish Financial Supervisory Authority, Copenhagen, accessed 12 September 2026.</t>
        </is>
      </c>
    </row>
    <row r="20" ht="46" customHeight="1">
      <c r="A20" s="23" t="inlineStr">
        <is>
          <t>DG4</t>
        </is>
      </c>
      <c r="B20" s="15" t="inlineStr">
        <is>
          <t>Digitaliseringsstyrelsen (Danish Agency for Digital Government)</t>
        </is>
      </c>
      <c r="C20" s="15" t="inlineStr">
        <is>
          <t>Digital Post – lovgivning, and the MitID transition news archive</t>
        </is>
      </c>
      <c r="D20" s="15" t="inlineStr"/>
      <c r="E20" s="15" t="inlineStr">
        <is>
          <t>https://digst.dk/it-loesninger/digital-post/lovgivning/</t>
        </is>
      </c>
      <c r="F20" s="15" t="inlineStr">
        <is>
          <t>2026-09-12</t>
        </is>
      </c>
      <c r="G20" s="15" t="inlineStr">
        <is>
          <t>Digitaliseringsstyrelsen 2025, Digital Post – lovgivning, Agency for Digital Government, Copenhagen, accessed 12 September 2026.</t>
        </is>
      </c>
    </row>
    <row r="21" ht="46" customHeight="1">
      <c r="A21" s="23" t="inlineStr">
        <is>
          <t>SMV1</t>
        </is>
      </c>
      <c r="B21" s="15" t="inlineStr">
        <is>
          <t>SMV:Digital (Danish SME digitalisation grant scheme)</t>
        </is>
      </c>
      <c r="C21" s="15" t="inlineStr">
        <is>
          <t>Tilskudspuljer i 2026</t>
        </is>
      </c>
      <c r="D21" s="15" t="inlineStr"/>
      <c r="E21" s="15" t="inlineStr">
        <is>
          <t>https://smvdigital.dk/content/ydelser/tilskudspuljer-i-2026/8efa07f4-5032-47f4-b7fa-bab57412b762/</t>
        </is>
      </c>
      <c r="F21" s="15" t="inlineStr">
        <is>
          <t>2026-09-12</t>
        </is>
      </c>
      <c r="G21" s="15" t="inlineStr">
        <is>
          <t>SMV:Digital 2026, Tilskudspuljer i 2026, SMV:Digital, Copenhagen, accessed 12 September 2026.</t>
        </is>
      </c>
    </row>
    <row r="22" ht="46" customHeight="1">
      <c r="A22" s="23" t="inlineStr">
        <is>
          <t>DST2</t>
        </is>
      </c>
      <c r="B22" s="15" t="inlineStr">
        <is>
          <t>Danmarks Statistik</t>
        </is>
      </c>
      <c r="C22" s="15" t="inlineStr">
        <is>
          <t>Befolkningstal (population figures)</t>
        </is>
      </c>
      <c r="D22" s="15" t="inlineStr">
        <is>
          <t>StatBank FOLK1A</t>
        </is>
      </c>
      <c r="E22" s="15" t="inlineStr">
        <is>
          <t>https://www.dst.dk/da/Statistik/emner/borgere/befolkning/befolkningstal</t>
        </is>
      </c>
      <c r="F22" s="15" t="inlineStr">
        <is>
          <t>2026-09-12</t>
        </is>
      </c>
      <c r="G22" s="15" t="inlineStr">
        <is>
          <t>Danmarks Statistik 2026, Befolkningstal, Statistics Denmark, Copenhagen, accessed 12 September 2026.</t>
        </is>
      </c>
    </row>
    <row r="23" ht="46" customHeight="1">
      <c r="A23" s="23" t="inlineStr">
        <is>
          <t>ES7</t>
        </is>
      </c>
      <c r="B23" s="15" t="inlineStr">
        <is>
          <t>Eurostat</t>
        </is>
      </c>
      <c r="C23" s="15" t="inlineStr">
        <is>
          <t>Internet purchases by individuals (2020 onwards) - custom extraction, all individuals, last online purchase in the 12 months, percentage of individuals who used internet within the last year, 2024</t>
        </is>
      </c>
      <c r="D23" s="15" t="inlineStr">
        <is>
          <t>isoc_ec_ib20</t>
        </is>
      </c>
      <c r="E23" s="15" t="inlineStr">
        <is>
          <t>https://ec.europa.eu/eurostat/databrowser/view/isoc_ec_ib20/default/table?lang=en</t>
        </is>
      </c>
      <c r="F23" s="15" t="inlineStr">
        <is>
          <t>2026-09-12</t>
        </is>
      </c>
      <c r="G23"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4" ht="46" customHeight="1">
      <c r="A24" s="23" t="inlineStr">
        <is>
          <t>DST1</t>
        </is>
      </c>
      <c r="B24" s="15" t="inlineStr">
        <is>
          <t>Danmarks Statistik</t>
        </is>
      </c>
      <c r="C24" s="15" t="inlineStr">
        <is>
          <t>Detailomsætningsindeks (retail trade turnover index)</t>
        </is>
      </c>
      <c r="D24" s="15" t="inlineStr">
        <is>
          <t>StatBank; base year rebased 2015 -&gt; 2021</t>
        </is>
      </c>
      <c r="E24" s="15" t="inlineStr">
        <is>
          <t>https://www.dst.dk/da/Statistik/dokumentation/statistikdokumentation/detailomsaetningsindeks</t>
        </is>
      </c>
      <c r="F24" s="15" t="inlineStr">
        <is>
          <t>2026-09-12</t>
        </is>
      </c>
      <c r="G24" s="15" t="inlineStr">
        <is>
          <t>Danmarks Statistik 2025, Detailomsætningsindeks, Statistics Denmark, Copenhagen, accessed 12 September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DK.PAY.CASH.POS</t>
        </is>
      </c>
      <c r="B3" s="15" t="inlineStr">
        <is>
          <t>Cash as a share of the NUMBER of payments made at physical points of sale.</t>
        </is>
      </c>
      <c r="C3" s="15" t="inlineStr">
        <is>
          <t>Not a share of value. Excludes e-commerce entirely.</t>
        </is>
      </c>
    </row>
    <row r="4" ht="44" customHeight="1">
      <c r="A4" s="25" t="inlineStr">
        <is>
          <t>DK.PAY.CRD.PHYS</t>
        </is>
      </c>
      <c r="B4" s="15" t="inlineStr">
        <is>
          <t>Physical payment cards as a share of the number of in-store payments.</t>
        </is>
      </c>
      <c r="C4" s="15" t="inlineStr">
        <is>
          <t>Falls partly because wallets replace the physical card, not because card payment declines.</t>
        </is>
      </c>
    </row>
    <row r="5" ht="44" customHeight="1">
      <c r="A5" s="25" t="inlineStr">
        <is>
          <t>DK.PAY.WLT.SHR</t>
        </is>
      </c>
      <c r="B5" s="15" t="inlineStr">
        <is>
          <t>Card-based mobile wallets as a share of the number of in-store payments.</t>
        </is>
      </c>
      <c r="C5" s="15" t="inlineStr">
        <is>
          <t>Wallet payments are card payments. Do not add to the card share.</t>
        </is>
      </c>
    </row>
    <row r="6" ht="44" customHeight="1">
      <c r="A6" s="25" t="inlineStr">
        <is>
          <t>DK.PAY.WLT.OWN</t>
        </is>
      </c>
      <c r="B6" s="15" t="inlineStr">
        <is>
          <t>Share of CITIZENS with a wallet solution on their phone.</t>
        </is>
      </c>
      <c r="C6" s="15" t="inlineStr">
        <is>
          <t>Different denominator from the payment-share series. Memo only - deliberately excluded from Figure 2.</t>
        </is>
      </c>
    </row>
    <row r="7" ht="44" customHeight="1">
      <c r="A7" s="25" t="inlineStr">
        <is>
          <t>DK.FIN.BRCH</t>
        </is>
      </c>
      <c r="B7" s="15" t="inlineStr">
        <is>
          <t>Number of retail bank branches operated by Danish credit institutions.</t>
        </is>
      </c>
      <c r="C7" s="15" t="inlineStr">
        <is>
          <t>Consolidation and digitalisation both reduce this. The series alone cannot separate the two causes.</t>
        </is>
      </c>
    </row>
    <row r="8" ht="44" customHeight="1">
      <c r="A8" s="25" t="inlineStr">
        <is>
          <t>DK.ECM.IND.BUY</t>
        </is>
      </c>
      <c r="B8" s="15" t="inlineStr">
        <is>
          <t>Individuals who purchased goods or services online in the last 12 months.</t>
        </is>
      </c>
      <c r="C8" s="15" t="inlineStr">
        <is>
          <t>DENOMINATOR BREAK at 2020: % of individuals before, % of internet users after. Never plot 2019 with later years.</t>
        </is>
      </c>
    </row>
    <row r="9" ht="44" customHeight="1">
      <c r="A9" s="25" t="inlineStr">
        <is>
          <t>DK.ECM.ENT.TRN</t>
        </is>
      </c>
      <c r="B9" s="15" t="inlineStr">
        <is>
          <t>E-commerce sales as a share of total enterprise turnover.</t>
        </is>
      </c>
      <c r="C9" s="15" t="inlineStr">
        <is>
          <t>Measures INTENSITY of online selling, not how many firms sell online. Pair with DK.ECM.ENT.SHR.</t>
        </is>
      </c>
    </row>
    <row r="10" ht="44" customHeight="1">
      <c r="A10" s="25" t="inlineStr">
        <is>
          <t>DK.ECM.ENT.SHR</t>
        </is>
      </c>
      <c r="B10" s="15" t="inlineStr">
        <is>
          <t>Share of enterprises making any e-sales.</t>
        </is>
      </c>
      <c r="C10" s="15" t="inlineStr">
        <is>
          <t>Measures BREADTH of adoption. Flat breadth with rising intensity means incumbents deepening, not new entrants.</t>
        </is>
      </c>
    </row>
    <row r="11" ht="44" customHeight="1">
      <c r="A11" s="25" t="inlineStr">
        <is>
          <t>DK.DGP.EXMP</t>
        </is>
      </c>
      <c r="B11" s="15" t="inlineStr">
        <is>
          <t>Citizens formally exempt from mandatory Digital Post under the statutory exemption regime.</t>
        </is>
      </c>
      <c r="C11" s="15" t="inlineStr">
        <is>
          <t>An administrative status, not a measure of capability. A citizen may struggle without being exempt.</t>
        </is>
      </c>
    </row>
    <row r="12" ht="44" customHeight="1">
      <c r="A12" s="25" t="inlineStr">
        <is>
          <t>DK.DGX.DIFF</t>
        </is>
      </c>
      <c r="B12" s="15" t="inlineStr">
        <is>
          <t>Population estimated to face difficulties using digital public services.</t>
        </is>
      </c>
      <c r="C12" s="15" t="inlineStr">
        <is>
          <t>A capability estimate, not an administrative count. Much larger than the exemption rate - that gap is the analytical point.</t>
        </is>
      </c>
    </row>
    <row r="13" ht="44" customHeight="1">
      <c r="A13" s="25" t="inlineStr">
        <is>
          <t>DK.DGX.JUST</t>
        </is>
      </c>
      <c r="B13" s="15" t="inlineStr">
        <is>
          <t>Justitia's estimate of the digitally disadvantaged adult population.</t>
        </is>
      </c>
      <c r="C13" s="15" t="inlineStr">
        <is>
          <t>Think-tank estimate, broadest definition of the five. Cite as an upper bound, not as an official statistic.</t>
        </is>
      </c>
    </row>
    <row r="14" ht="44" customHeight="1">
      <c r="A14" s="25" t="inlineStr">
        <is>
          <t>DK.GOV.DPS.CIT</t>
        </is>
      </c>
      <c r="B14" s="15" t="inlineStr">
        <is>
          <t>eGovernment Benchmark composite score for citizen-facing digital public services.</t>
        </is>
      </c>
      <c r="C14" s="15" t="inlineStr">
        <is>
          <t>A composite index, not a usage rate. Denmark scores BELOW the EU average despite near-universal mandated use.</t>
        </is>
      </c>
    </row>
    <row r="15" ht="44" customHeight="1">
      <c r="A15" s="25" t="inlineStr">
        <is>
          <t>DK.ENV.WEEE</t>
        </is>
      </c>
      <c r="B15" s="15" t="inlineStr">
        <is>
          <t>Share of collected ICT-related electrical waste recycled or prepared for reuse.</t>
        </is>
      </c>
      <c r="C15" s="15" t="inlineStr">
        <is>
          <t>Covers two WEEE categories only. Denominator is waste COLLECTED, not waste generated.</t>
        </is>
      </c>
    </row>
    <row r="16" ht="44" customHeight="1">
      <c r="A16" s="25" t="inlineStr">
        <is>
          <t>DK.PAY.DIG.POS.NUM, DK.PAY.DIG.POS.VAL</t>
        </is>
      </c>
      <c r="B16" s="15" t="inlineStr">
        <is>
          <t>Digital share of physical-retail payments, by NUMBER and by VALUE respectively.</t>
        </is>
      </c>
      <c r="C16" s="15" t="inlineStr">
        <is>
          <t>Two different denominators. The value share exceeds the number share because cash survives in small transactions. Never quote one as the other, and never average them.</t>
        </is>
      </c>
    </row>
    <row r="17" ht="44" customHeight="1">
      <c r="A17" s="25" t="inlineStr">
        <is>
          <t>DK.FIN.INST</t>
        </is>
      </c>
      <c r="B17" s="15" t="inlineStr">
        <is>
          <t>Number of financial institutions (credit institutions) operating in Denmark.</t>
        </is>
      </c>
      <c r="C17" s="15" t="inlineStr">
        <is>
          <t>Base year 1991. Do NOT difference against DK.FIN.BRCH, which starts in 2004 - see F9_CONSOLIDATION.</t>
        </is>
      </c>
    </row>
    <row r="18" ht="44" customHeight="1">
      <c r="A18" s="25" t="inlineStr">
        <is>
          <t>DK.FIN.EMP</t>
        </is>
      </c>
      <c r="B18" s="15" t="inlineStr">
        <is>
          <t>Number of persons employed by Danish banks.</t>
        </is>
      </c>
      <c r="C18" s="15" t="inlineStr">
        <is>
          <t>Base year 1991, so comparable with DK.FIN.INST but NOT with the branch series. Falls far less than institutions - that asymmetry is the finding in F9_CONSOLIDATION, not a data error.</t>
        </is>
      </c>
    </row>
    <row r="19" ht="44" customHeight="1">
      <c r="A19" s="25" t="inlineStr">
        <is>
          <t>DK.SKL.1624, DK.SKL.2554, DK.SKL.5574
(EU.SKL.1624, EU.SKL.2554, EU.SKL.5574)</t>
        </is>
      </c>
      <c r="B19" s="15" t="inlineStr">
        <is>
          <t>Individuals with at least basic overall digital skills, by age band. EU.SKL.* are the matching EU-27 comparators.</t>
        </is>
      </c>
      <c r="C19" s="15" t="inlineStr">
        <is>
          <t>Age bands, not a time series - all three are the same reference year. The DIGCOMP methodology was revised in 2021; do not join to pre-2021 skills figures.</t>
        </is>
      </c>
    </row>
    <row r="20" ht="44" customHeight="1">
      <c r="A20" s="25" t="inlineStr">
        <is>
          <t>DK.DGP.EXMP.N</t>
        </is>
      </c>
      <c r="B20" s="15" t="inlineStr">
        <is>
          <t>Citizens formally exempt from Digital Post, as a HEADCOUNT.</t>
        </is>
      </c>
      <c r="C20" s="15" t="inlineStr">
        <is>
          <t>A count, not a rate. Converting between this and DK.DGP.EXMP requires DK.POP.TOT and an assumption about the 15+ denominator - see 07_LIMITATIONS.</t>
        </is>
      </c>
    </row>
    <row r="21" ht="44" customHeight="1">
      <c r="A21" s="25" t="inlineStr">
        <is>
          <t>DK.DGP.EXMP.7584, DK.DGP.EXMP.85P</t>
        </is>
      </c>
      <c r="B21" s="15" t="inlineStr">
        <is>
          <t>Digital Post exemption rate within the 75-84 and 85+ age bands.</t>
        </is>
      </c>
      <c r="C21" s="15" t="inlineStr">
        <is>
          <t>Denominator is the age group, not the population. These are far above the headline 4.7% and must not be compared with it directly.</t>
        </is>
      </c>
    </row>
    <row r="22" ht="44" customHeight="1">
      <c r="A22" s="25" t="inlineStr">
        <is>
          <t>DK.DGX.NOUSE</t>
        </is>
      </c>
      <c r="B22" s="15" t="inlineStr">
        <is>
          <t>Individuals who do not use digital public services at all.</t>
        </is>
      </c>
      <c r="C22" s="15" t="inlineStr">
        <is>
          <t>Non-use, not inability. Includes those with no need to transact as well as those unable to.</t>
        </is>
      </c>
    </row>
    <row r="23" ht="44" customHeight="1">
      <c r="A23" s="25" t="inlineStr">
        <is>
          <t>DK.DGX.DISADV.LO, DK.DGX.DISADV.HI</t>
        </is>
      </c>
      <c r="B23" s="15" t="inlineStr">
        <is>
          <t>Lower and upper bound of the 'digitally disadvantaged' adult population.</t>
        </is>
      </c>
      <c r="C23" s="15" t="inlineStr">
        <is>
          <t>A RANGE published as a range. Quote both bounds; citing either alone misrepresents the source's own uncertainty.</t>
        </is>
      </c>
    </row>
    <row r="24" ht="44" customHeight="1">
      <c r="A24" s="25" t="inlineStr">
        <is>
          <t>DK.POP.TOT</t>
        </is>
      </c>
      <c r="B24" s="15" t="inlineStr">
        <is>
          <t>Resident population of Denmark.</t>
        </is>
      </c>
      <c r="C24" s="15" t="inlineStr">
        <is>
          <t>Used only as a denominator for converting headcounts to rates. Total residents, not the 15+ base the exemption rate actually uses.</t>
        </is>
      </c>
    </row>
    <row r="25" ht="44" customHeight="1">
      <c r="A25" s="25" t="inlineStr">
        <is>
          <t>DK.TRU.DPS</t>
        </is>
      </c>
      <c r="B25" s="15" t="inlineStr">
        <is>
          <t>Share of the population expressing trust in digital public solutions.</t>
        </is>
      </c>
      <c r="C25" s="15" t="inlineStr">
        <is>
          <t>Self-reported attitude, not behaviour. High trust coexists with the exclusion measures in F4 - the two are not in contradiction.</t>
        </is>
      </c>
    </row>
    <row r="26" ht="44" customHeight="1">
      <c r="A26" s="25" t="inlineStr">
        <is>
          <t>DK.TRU.DGP.SEC</t>
        </is>
      </c>
      <c r="B26" s="15" t="inlineStr">
        <is>
          <t>Share of the population perceiving Digital Post as secure.</t>
        </is>
      </c>
      <c r="C26" s="15" t="inlineStr">
        <is>
          <t>Narrower than DK.TRU.DPS: one service, not the whole system. Do not treat the two as one series.</t>
        </is>
      </c>
    </row>
    <row r="27" ht="44" customHeight="1">
      <c r="A27" s="25" t="inlineStr">
        <is>
          <t>DK.ENT.DII</t>
        </is>
      </c>
      <c r="B27" s="15" t="inlineStr">
        <is>
          <t>SMEs reaching at least basic digital intensity (DII).</t>
        </is>
      </c>
      <c r="C27" s="15" t="inlineStr">
        <is>
          <t>A composite threshold count of adopted technologies, not an intensity of use. A firm clears it by adopting breadth cheaply.</t>
        </is>
      </c>
    </row>
    <row r="28" ht="44" customHeight="1">
      <c r="A28" s="25" t="inlineStr">
        <is>
          <t>DK.ENT.AI, DK.ENT.AI.LRG, DK.ENT.AI.SME</t>
        </is>
      </c>
      <c r="B28" s="15" t="inlineStr">
        <is>
          <t>Enterprises adopting AI: all, large (250+) and SMEs (10-249).</t>
        </is>
      </c>
      <c r="C28" s="15" t="inlineStr">
        <is>
          <t>The headline rate is close to the SME rate because SMEs dominate by count. The large-firm gap is the real dispersion - report the split, not just the average.</t>
        </is>
      </c>
    </row>
    <row r="29" ht="44" customHeight="1">
      <c r="A29" s="25" t="inlineStr">
        <is>
          <t>DK.GOV.DPS.XB</t>
        </is>
      </c>
      <c r="B29" s="15" t="inlineStr">
        <is>
          <t>eGovernment Benchmark score for CROSS-BORDER citizen services.</t>
        </is>
      </c>
      <c r="C29" s="15" t="inlineStr">
        <is>
          <t>Scored against a different service basket from DK.GOV.DPS.CIT. Lower is not evidence of decline; it is a different test.</t>
        </is>
      </c>
    </row>
    <row r="30" ht="44" customHeight="1">
      <c r="A30" s="25" t="inlineStr">
        <is>
          <t>DK.GOV.DGP.SAVE.PLAN, DK.GOV.DGP.SAVE.VERIF</t>
        </is>
      </c>
      <c r="B30" s="15" t="inlineStr">
        <is>
          <t>Digital Post annual public saving: as projected, and as verifiable by audit.</t>
        </is>
      </c>
      <c r="C30" s="15" t="inlineStr">
        <is>
          <t>The pair exists to be compared - the verified figure is well under half the projection. Never cite the projection alone as a realised saving.</t>
        </is>
      </c>
    </row>
    <row r="31" ht="44" customHeight="1">
      <c r="A31" s="25" t="inlineStr">
        <is>
          <t>DK.SME.SMVD.PROJ, DK.SME.SMVD.INV, DK.SME.SMVD.NOINV</t>
        </is>
      </c>
      <c r="B31" s="15" t="inlineStr">
        <is>
          <t>SMV:Digital programme: projects supported, and participants who did or did not invest further.</t>
        </is>
      </c>
      <c r="C31"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 t="inlineStr">
        <is>
          <t>AI ADOPTION BY FIRM SIZE - who could build on the rail</t>
        </is>
      </c>
    </row>
    <row r="17" ht="28" customHeight="1">
      <c r="A17" s="8" t="inlineStr">
        <is>
          <t>firm size</t>
        </is>
      </c>
      <c r="B17" s="8" t="inlineStr">
        <is>
          <t>% adopting AI</t>
        </is>
      </c>
      <c r="C17" s="8" t="inlineStr">
        <is>
          <t>reading</t>
        </is>
      </c>
    </row>
    <row r="18" ht="30" customHeight="1">
      <c r="A18" s="27" t="inlineStr">
        <is>
          <t>All enterprises</t>
        </is>
      </c>
      <c r="B18" s="32">
        <f>IF(COUNTIFS('02_MASTER'!$B:$B,"DK.ENT.AI",'02_MASTER'!$E:$E,2025)=0,"",SUMIFS('02_MASTER'!$F:$F,'02_MASTER'!$B:$B,"DK.ENT.AI",'02_MASTER'!$E:$E,2025))</f>
        <v/>
      </c>
      <c r="C18" s="30" t="inlineStr">
        <is>
          <t>Denmark's headline AI adoption rate.</t>
        </is>
      </c>
    </row>
    <row r="19" ht="30" customHeight="1">
      <c r="A19" s="27" t="inlineStr">
        <is>
          <t>Large enterprises</t>
        </is>
      </c>
      <c r="B19" s="32">
        <f>IF(COUNTIFS('02_MASTER'!$B:$B,"DK.ENT.AI.LRG",'02_MASTER'!$E:$E,2025)=0,"",SUMIFS('02_MASTER'!$F:$F,'02_MASTER'!$B:$B,"DK.ENT.AI.LRG",'02_MASTER'!$E:$E,2025))</f>
        <v/>
      </c>
      <c r="C19" s="30" t="inlineStr">
        <is>
          <t>Roughly three in four.</t>
        </is>
      </c>
    </row>
    <row r="20" ht="30" customHeight="1">
      <c r="A20" s="27" t="inlineStr">
        <is>
          <t>Small and medium enterprises</t>
        </is>
      </c>
      <c r="B20" s="32">
        <f>IF(COUNTIFS('02_MASTER'!$B:$B,"DK.ENT.AI.SME",'02_MASTER'!$E:$E,2025)=0,"",SUMIFS('02_MASTER'!$F:$F,'02_MASTER'!$B:$B,"DK.ENT.AI.SME",'02_MASTER'!$E:$E,2025))</f>
        <v/>
      </c>
      <c r="C20" s="30" t="inlineStr">
        <is>
          <t>Two in five, though 92.45% of them clear the basic digital-intensity threshold. The constraint is complementary capital, not connectivity.</t>
        </is>
      </c>
    </row>
    <row r="22">
      <c r="A22"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row r="26">
      <c r="F26" s="33" t="inlineStr">
        <is>
          <t>AI adoption by firm size, Denmark 2025</t>
        </is>
      </c>
    </row>
    <row r="27">
      <c r="F27" s="26" t="inlineStr">
        <is>
          <t>Large firms against SMEs. The aggregate is greyed because it sits between them by construction.</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participation (not the effect estimate)</t>
        </is>
      </c>
    </row>
    <row r="2">
      <c r="A2" s="26" t="inlineStr">
        <is>
          <t>Danmarks Statistik evaluation, June 2025. The evaluation used a matched comparison; the three values below do not come from it.</t>
        </is>
      </c>
    </row>
    <row r="3">
      <c r="E3" s="33" t="inlineStr">
        <is>
          <t>SMV:Digital participant outcomes</t>
        </is>
      </c>
    </row>
    <row r="4" ht="28" customHeight="1">
      <c r="A4" s="8" t="inlineStr">
        <is>
          <t>measure</t>
        </is>
      </c>
      <c r="B4" s="8" t="inlineStr">
        <is>
          <t>value</t>
        </is>
      </c>
      <c r="C4" s="8" t="inlineStr">
        <is>
          <t>unit</t>
        </is>
      </c>
      <c r="E4" s="26" t="inlineStr">
        <is>
          <t>Shares of the ~7,000 supported projects (count in the table, off-axis). Participation only; no effect size is plotted because none was verified.</t>
        </is>
      </c>
    </row>
    <row r="5">
      <c r="A5" s="27" t="inlineStr">
        <is>
          <t>Participants investing further during the project</t>
        </is>
      </c>
      <c r="B5" s="35">
        <f>IF(COUNTIFS('02_MASTER'!$B:$B,"DK.SME.SMVD.INV",'02_MASTER'!$E:$E,2025)=0,"",SUMIFS('02_MASTER'!$F:$F,'02_MASTER'!$B:$B,"DK.SME.SMVD.INV",'02_MASTER'!$E:$E,2025))</f>
        <v/>
      </c>
      <c r="C5" s="29" t="inlineStr">
        <is>
          <t>% of participants</t>
        </is>
      </c>
    </row>
    <row r="6">
      <c r="A6" s="27" t="inlineStr">
        <is>
          <t>Participants with no further investment plans</t>
        </is>
      </c>
      <c r="B6" s="35">
        <f>IF(COUNTIFS('02_MASTER'!$B:$B,"DK.SME.SMVD.NOINV",'02_MASTER'!$E:$E,2025)=0,"",SUMIFS('02_MASTER'!$F:$F,'02_MASTER'!$B:$B,"DK.SME.SMVD.NOINV",'02_MASTER'!$E:$E,2025))</f>
        <v/>
      </c>
      <c r="C6" s="29" t="inlineStr">
        <is>
          <t>% of participants</t>
        </is>
      </c>
    </row>
    <row r="7">
      <c r="A7" s="27" t="inlineStr">
        <is>
          <t>Digitalisation projects supported since 2018</t>
        </is>
      </c>
      <c r="B7" s="28">
        <f>IF(COUNTIFS('02_MASTER'!$B:$B,"DK.SME.SMVD.PROJ",'02_MASTER'!$E:$E,2025)=0,"",SUMIFS('02_MASTER'!$F:$F,'02_MASTER'!$B:$B,"DK.SME.SMVD.PROJ",'02_MASTER'!$E:$E,2025))</f>
        <v/>
      </c>
      <c r="C7" s="29" t="inlineStr">
        <is>
          <t>count</t>
        </is>
      </c>
    </row>
    <row r="9">
      <c r="A9" s="3" t="inlineStr">
        <is>
          <t>WHAT THIS FIGURE SHOWS - AND WHAT IT DOES NOT</t>
        </is>
      </c>
    </row>
    <row r="10" ht="34" customHeight="1">
      <c r="A10" s="34" t="inlineStr">
        <is>
          <t>WHAT THE PLOTTED NUMBERS ARE: participation counts and participant self-reports. 'Invested further' is a share OF PARTICIPANTS, with no comparison group behind it. Read alone, these three values cannot support any causal claim about the programme, and 04_DEFINITIONS says so on the same series.</t>
        </is>
      </c>
    </row>
    <row r="11" ht="34" customHeight="1">
      <c r="A11" s="34" t="inlineStr">
        <is>
          <t>WHAT THE EVALUATION SEPARATELY FOUND: Danmarks Statistik compared participating firms against comparable non-participants and reported higher revenue AND higher employment among participants. That matched comparison is the strongest research DESIGN behind any source in this workbook - Figure 6's cross-section cannot rule out that richer countries simply do more of both, and a matched comparison can.</t>
        </is>
      </c>
    </row>
    <row r="12" ht="34" customHeight="1">
      <c r="A12" s="34" t="inlineStr">
        <is>
          <t>WHY THE TWO ARE KEPT APART: the design belongs to the evaluation, not to these three numbers. Citing the figure as 'the one policy with a control group' - as this sheet's title did until an audit caught it - borrows the evaluation's credibility for values that do not carry it. If the report wants the causal claim, it must cite the evaluation's own effect sizes, which means retrieving and verifying them first.</t>
        </is>
      </c>
    </row>
    <row r="13" ht="34" customHeight="1">
      <c r="A13" s="34" t="inlineStr">
        <is>
          <t>LIMIT: the effect sizes are not reproduced here because they were not verified against the evaluation itself. The direction of the finding is sourced; the magnitude is not, and must not be invented.</t>
        </is>
      </c>
    </row>
    <row r="14" ht="34" customHeight="1">
      <c r="A14" s="34" t="inlineStr">
        <is>
          <t>LIMIT: participation is voluntary, so selection into the programme by more capable or more ambitious firms is not excluded by matching alone.</t>
        </is>
      </c>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2018-01-01</t>
        </is>
      </c>
      <c r="B18" s="15" t="inlineStr">
        <is>
          <t>year</t>
        </is>
      </c>
      <c r="C18" s="15" t="inlineStr">
        <is>
          <t>SMV:Digital launched</t>
        </is>
      </c>
      <c r="D18" s="15" t="inlineStr">
        <is>
          <t>Danish digital growth plan for SMEs</t>
        </is>
      </c>
      <c r="E18" s="23" t="inlineStr">
        <is>
          <t>DG3</t>
        </is>
      </c>
    </row>
    <row r="19">
      <c r="A19" s="23" t="inlineStr">
        <is>
          <t>2026-01-01</t>
        </is>
      </c>
      <c r="B19" s="15" t="inlineStr">
        <is>
          <t>year</t>
        </is>
      </c>
      <c r="C19" s="15" t="inlineStr">
        <is>
          <t>SMV:Digital grant pools continue</t>
        </is>
      </c>
      <c r="D19" s="15" t="inlineStr">
        <is>
          <t>Tilskudspuljer i 2026</t>
        </is>
      </c>
      <c r="E19" s="23" t="inlineStr">
        <is>
          <t>SMV1</t>
        </is>
      </c>
    </row>
    <row r="21">
      <c r="A21" s="34" t="inlineStr">
        <is>
          <t>Source: Effektmaaling af SMV:Digital, Danmarks Statistik for the Agency for Digital Government, June 2025 (DG3); scheme status from SMV:Digital's 2026 grant-pool page (SMV1).</t>
        </is>
      </c>
    </row>
  </sheetData>
  <mergeCells count="5">
    <mergeCell ref="A10:C10"/>
    <mergeCell ref="A13:C13"/>
    <mergeCell ref="A11:C11"/>
    <mergeCell ref="A14:C14"/>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s4040040</dc:creator>
  <dc:title xmlns:dc="http://purl.org/dc/elements/1.1/">Denmark: Digital Adoption and Policy Outcomes</dc:title>
  <dc:description xmlns:dc="http://purl.org/dc/elements/1.1/">Statistical annex, v1.0, built 2026-09-13. 113 verified observations.</dc:description>
  <dc:subject xmlns:dc="http://purl.org/dc/elements/1.1/">ECON1596/ECON1597 Digital Economy and Policy</dc:subject>
  <dcterms:created xmlns:dcterms="http://purl.org/dc/terms/" xmlns:xsi="http://www.w3.org/2001/XMLSchema-instance" xsi:type="dcterms:W3CDTF">2026-09-13T04:35:10Z</dcterms:created>
  <dcterms:modified xmlns:dcterms="http://purl.org/dc/terms/" xmlns:xsi="http://www.w3.org/2001/XMLSchema-instance" xsi:type="dcterms:W3CDTF">2026-09-13T04:35:10Z</dcterms:modified>
</cp:coreProperties>
</file>