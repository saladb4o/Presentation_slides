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README" sheetId="2" state="visible" r:id="rId2"/>
    <sheet name="02_MASTER" sheetId="3" state="visible" r:id="rId3"/>
    <sheet name="03_SOURCES" sheetId="4" state="visible" r:id="rId4"/>
    <sheet name="04_DEFINITIONS" sheetId="5" state="visible" r:id="rId5"/>
    <sheet name="05_CALC" sheetId="6" state="visible" r:id="rId6"/>
    <sheet name="F1_BRANCHES" sheetId="7" state="visible" r:id="rId7"/>
    <sheet name="F2_PAYMENTS" sheetId="8" state="visible" r:id="rId8"/>
    <sheet name="F3_ESALES" sheetId="9" state="visible" r:id="rId9"/>
    <sheet name="F4_EXCLUSION" sheetId="10" state="visible" r:id="rId10"/>
    <sheet name="F5_EU27" sheetId="11" state="visible" r:id="rId11"/>
    <sheet name="F6_ADOPT_BENEFIT" sheetId="12" state="visible" r:id="rId12"/>
    <sheet name="F7_QUALITY" sheetId="13" state="visible" r:id="rId13"/>
    <sheet name="F8_SMVDIGITAL" sheetId="14" state="visible" r:id="rId14"/>
    <sheet name="F9_CONSOLIDATION" sheetId="15" state="visible" r:id="rId15"/>
    <sheet name="F10_SKILLS" sheetId="16" state="visible" r:id="rId16"/>
    <sheet name="06_RETAIL_GAP" sheetId="17" state="visible" r:id="rId17"/>
    <sheet name="07_LIMITATIONS" sheetId="18" state="visible" r:id="rId18"/>
    <sheet name="08_AI_LOG" sheetId="19" state="visible" r:id="rId19"/>
    <sheet name="09_POLICY" sheetId="20" state="visible" r:id="rId20"/>
  </sheets>
  <definedNames>
    <definedName name="_xlnm._FilterDatabase" localSheetId="2" hidden="1">'02_MASTER'!$A$1:$L$114</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plotArea>
      <scatterChart>
        <ser>
          <idx val="0"/>
          <order val="0"/>
          <tx>
            <strRef>
              <f>'F1_BRANCHES'!B4</f>
            </strRef>
          </tx>
          <spPr>
            <a:ln w="22000">
              <a:solidFill>
                <a:srgbClr val="2E6DB4"/>
              </a:solidFill>
              <a:prstDash val="solid"/>
            </a:ln>
          </spPr>
          <marker>
            <symbol val="circle"/>
            <size val="7"/>
            <spPr>
              <a:solidFill>
                <a:srgbClr val="2E6DB4"/>
              </a:solidFill>
              <a:l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a:p>
                <a:pPr>
                  <a:defRPr/>
                </a:pPr>
                <a:r>
                  <a:t>Year</a:t>
                </a:r>
              </a:p>
            </rich>
          </tx>
        </title>
        <majorTickMark val="none"/>
        <minorTickMark val="none"/>
        <spPr>
          <a:ln>
            <a:noFill/>
            <a:prstDash val="solid"/>
          </a:ln>
        </spPr>
        <crossAx val="20"/>
      </valAx>
      <valAx>
        <axId val="20"/>
        <scaling>
          <orientation val="minMax"/>
          <min val="0"/>
        </scaling>
        <axPos val="l"/>
        <title>
          <tx>
            <rich>
              <a:bodyPr/>
              <a:p>
                <a:pPr>
                  <a:defRPr/>
                </a:pPr>
                <a:r>
                  <a:t>Number of branches</a:t>
                </a:r>
              </a:p>
            </rich>
          </tx>
        </title>
        <majorTickMark val="none"/>
        <minorTickMark val="none"/>
        <spPr>
          <a:ln>
            <a:noFill/>
            <a:prstDash val="solid"/>
          </a:ln>
        </spPr>
        <crossAx val="10"/>
      </valAx>
    </plotArea>
    <plotVisOnly val="1"/>
    <dispBlanksAs val="gap"/>
  </chart>
</chartSpace>
</file>

<file path=xl/charts/chart2.xml><?xml version="1.0" encoding="utf-8"?>
<chartSpace xmlns:a="http://schemas.openxmlformats.org/drawingml/2006/main" xmlns="http://schemas.openxmlformats.org/drawingml/2006/chart">
  <chart>
    <plotArea>
      <scatterChart>
        <ser>
          <idx val="0"/>
          <order val="0"/>
          <tx>
            <strRef>
              <f>'F2_PAYMENTS'!B5</f>
            </strRef>
          </tx>
          <spPr>
            <a:ln w="22000">
              <a:solidFill>
                <a:srgbClr val="2E6DB4"/>
              </a:solidFill>
              <a:prstDash val="solid"/>
            </a:ln>
          </spPr>
          <marker>
            <symbol val="circle"/>
            <size val="7"/>
            <spPr>
              <a:solidFill>
                <a:srgbClr val="2E6DB4"/>
              </a:solidFill>
              <a:l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a:p>
                <a:pPr>
                  <a:defRPr/>
                </a:pPr>
                <a:r>
                  <a:t>Year</a:t>
                </a:r>
              </a:p>
            </rich>
          </tx>
        </title>
        <majorTickMark val="none"/>
        <minorTickMark val="none"/>
        <spPr>
          <a:ln>
            <a:noFill/>
            <a:prstDash val="solid"/>
          </a:ln>
        </spPr>
        <crossAx val="20"/>
      </valAx>
      <valAx>
        <axId val="20"/>
        <scaling>
          <orientation val="minMax"/>
          <max val="25"/>
          <min val="0"/>
        </scaling>
        <axPos val="l"/>
        <title>
          <tx>
            <rich>
              <a:bodyPr/>
              <a:p>
                <a:pPr>
                  <a:defRPr/>
                </a:pPr>
                <a:r>
                  <a:t>% of number of payments</a:t>
                </a:r>
              </a:p>
            </rich>
          </tx>
        </title>
        <majorTickMark val="none"/>
        <minorTickMark val="none"/>
        <spPr>
          <a:ln>
            <a:noFill/>
            <a:prstDash val="solid"/>
          </a:ln>
        </spPr>
        <crossAx val="10"/>
      </valAx>
    </plotArea>
    <plotVisOnly val="1"/>
    <dispBlanksAs val="gap"/>
  </chart>
</chartSpace>
</file>

<file path=xl/charts/chart3.xml><?xml version="1.0" encoding="utf-8"?>
<chartSpace xmlns:a="http://schemas.openxmlformats.org/drawingml/2006/main" xmlns="http://schemas.openxmlformats.org/drawingml/2006/chart">
  <chart>
    <plotArea>
      <barChart>
        <barDir val="bar"/>
        <grouping val="clustered"/>
        <ser>
          <idx val="0"/>
          <order val="0"/>
          <tx>
            <strRef>
              <f>'F2_PAYMENTS'!B11</f>
            </strRef>
          </tx>
          <spPr>
            <a:solidFill>
              <a:srgbClr val="A3A3A3"/>
            </a:solidFill>
            <a:ln>
              <a:noFill/>
              <a:prstDash val="solid"/>
            </a:ln>
          </spPr>
          <dPt>
            <idx val="0"/>
            <spPr>
              <a:solidFill>
                <a:srgbClr val="A3A3A3"/>
              </a:solidFill>
              <a:ln>
                <a:noFill/>
                <a:prstDash val="solid"/>
              </a:ln>
            </spPr>
          </dPt>
          <dPt>
            <idx val="1"/>
            <spPr>
              <a:solidFill>
                <a:srgbClr val="A3A3A3"/>
              </a:solidFill>
              <a:ln>
                <a:noFill/>
                <a:prstDash val="solid"/>
              </a:ln>
            </spPr>
          </dPt>
          <dPt>
            <idx val="2"/>
            <spPr>
              <a:solidFill>
                <a:srgbClr val="2E6DB4"/>
              </a:solidFill>
              <a:ln>
                <a:noFill/>
                <a:prstDash val="solid"/>
              </a:ln>
            </spPr>
          </dPt>
          <cat>
            <numRef>
              <f>'F2_PAYMENTS'!$A$12:$A$14</f>
            </numRef>
          </cat>
          <val>
            <numRef>
              <f>'F2_PAYMENTS'!$B$12:$B$14</f>
            </numRef>
          </val>
        </ser>
        <gapWidth val="80"/>
        <axId val="10"/>
        <axId val="100"/>
      </barChart>
      <catAx>
        <axId val="10"/>
        <scaling>
          <orientation val="minMax"/>
        </scaling>
        <axPos val="l"/>
        <title>
          <tx>
            <rich>
              <a:bodyPr/>
              <a:p>
                <a:pPr>
                  <a:defRPr/>
                </a:pPr>
                <a:r>
                  <a:t>% of number of payments</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4.xml><?xml version="1.0" encoding="utf-8"?>
<chartSpace xmlns:a="http://schemas.openxmlformats.org/drawingml/2006/main" xmlns="http://schemas.openxmlformats.org/drawingml/2006/chart">
  <chart>
    <plotArea>
      <barChart>
        <barDir val="col"/>
        <grouping val="clustered"/>
        <ser>
          <idx val="0"/>
          <order val="0"/>
          <tx>
            <strRef>
              <f>'F3_ESALES'!B4</f>
            </strRef>
          </tx>
          <spPr>
            <a:solidFill>
              <a:srgbClr val="2E6DB4"/>
            </a:solidFill>
            <a:ln>
              <a:noFill/>
              <a:prstDash val="solid"/>
            </a:ln>
          </spPr>
          <cat>
            <numRef>
              <f>'F3_ESALES'!$A$5:$A$6</f>
            </numRef>
          </cat>
          <val>
            <numRef>
              <f>'F3_ESALES'!$B$5:$B$6</f>
            </numRef>
          </val>
        </ser>
        <ser>
          <idx val="1"/>
          <order val="1"/>
          <tx>
            <strRef>
              <f>'F3_ESALES'!C4</f>
            </strRef>
          </tx>
          <spPr>
            <a:solidFill>
              <a:srgbClr val="A3A3A3"/>
            </a:solidFill>
            <a:ln>
              <a:noFill/>
              <a:prstDash val="solid"/>
            </a:ln>
          </spPr>
          <cat>
            <numRef>
              <f>'F3_ESALES'!$A$5:$A$6</f>
            </numRef>
          </cat>
          <val>
            <numRef>
              <f>'F3_ESALES'!$C$5:$C$6</f>
            </numRef>
          </val>
        </ser>
        <gapWidth val="80"/>
        <overlap val="-27"/>
        <axId val="10"/>
        <axId val="100"/>
      </barChart>
      <catAx>
        <axId val="10"/>
        <scaling>
          <orientation val="minMax"/>
        </scaling>
        <axPos val="l"/>
        <title>
          <tx>
            <rich>
              <a:bodyPr/>
              <a:p>
                <a:pPr>
                  <a:defRPr/>
                </a:pPr>
                <a:r>
                  <a:t>Year</a:t>
                </a:r>
              </a:p>
            </rich>
          </tx>
        </title>
        <majorTickMark val="none"/>
        <minorTickMark val="none"/>
        <spPr>
          <a:ln>
            <a:noFill/>
            <a:prstDash val="solid"/>
          </a:ln>
        </spPr>
        <crossAx val="100"/>
        <lblOffset val="100"/>
      </catAx>
      <valAx>
        <axId val="100"/>
        <scaling>
          <orientation val="minMax"/>
        </scaling>
        <axPos val="l"/>
        <title>
          <tx>
            <rich>
              <a:bodyPr/>
              <a:p>
                <a:pPr>
                  <a:defRPr/>
                </a:pPr>
                <a:r>
                  <a:t>% of turnover</a:t>
                </a:r>
              </a:p>
            </rich>
          </tx>
        </title>
        <majorTickMark val="none"/>
        <minorTickMark val="none"/>
        <spPr>
          <a:ln>
            <a:noFill/>
            <a:prstDash val="solid"/>
          </a:ln>
        </spPr>
        <crossAx val="10"/>
      </valAx>
    </plotArea>
    <legend>
      <legendPos val="b"/>
      <overlay val="0"/>
    </legend>
    <plotVisOnly val="1"/>
    <dispBlanksAs val="gap"/>
  </chart>
</chartSpace>
</file>

<file path=xl/charts/chart5.xml><?xml version="1.0" encoding="utf-8"?>
<chartSpace xmlns:a="http://schemas.openxmlformats.org/drawingml/2006/main" xmlns="http://schemas.openxmlformats.org/drawingml/2006/chart">
  <chart>
    <plotArea>
      <barChart>
        <barDir val="bar"/>
        <grouping val="clustered"/>
        <ser>
          <idx val="0"/>
          <order val="0"/>
          <tx>
            <strRef>
              <f>'F4_EXCLUSION'!B4</f>
            </strRef>
          </tx>
          <spPr>
            <a:solidFill>
              <a:srgbClr val="2E6DB4"/>
            </a:solidFill>
            <a:ln>
              <a:noFill/>
              <a:prstDash val="solid"/>
            </a:ln>
          </spPr>
          <cat>
            <numRef>
              <f>'F4_EXCLUSION'!$A$5:$A$10</f>
            </numRef>
          </cat>
          <val>
            <numRef>
              <f>'F4_EXCLUSION'!$B$5:$B$10</f>
            </numRef>
          </val>
        </ser>
        <gapWidth val="80"/>
        <axId val="10"/>
        <axId val="100"/>
      </barChart>
      <catAx>
        <axId val="10"/>
        <scaling>
          <orientation val="minMax"/>
        </scaling>
        <axPos val="l"/>
        <title>
          <tx>
            <rich>
              <a:bodyPr/>
              <a:p>
                <a:pPr>
                  <a:defRPr/>
                </a:pPr>
                <a:r>
                  <a:t>% of population</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6.xml><?xml version="1.0" encoding="utf-8"?>
<chartSpace xmlns:a="http://schemas.openxmlformats.org/drawingml/2006/main" xmlns="http://schemas.openxmlformats.org/drawingml/2006/chart">
  <chart>
    <plotArea>
      <barChart>
        <barDir val="bar"/>
        <grouping val="clustered"/>
        <ser>
          <idx val="0"/>
          <order val="0"/>
          <tx>
            <strRef>
              <f>'F5_EU27'!B4</f>
            </strRef>
          </tx>
          <spPr>
            <a:solidFill>
              <a:srgbClr val="A3A3A3"/>
            </a:solidFill>
            <a:ln>
              <a:noFill/>
              <a:prstDash val="solid"/>
            </a:ln>
          </spPr>
          <dPt>
            <idx val="0"/>
            <spPr>
              <a:solidFill>
                <a:srgbClr val="A3A3A3"/>
              </a:solidFill>
              <a:ln>
                <a:noFill/>
                <a:prstDash val="solid"/>
              </a:ln>
            </spPr>
          </dPt>
          <dPt>
            <idx val="1"/>
            <spPr>
              <a:solidFill>
                <a:srgbClr val="A3A3A3"/>
              </a:solidFill>
              <a:ln>
                <a:noFill/>
                <a:prstDash val="solid"/>
              </a:ln>
            </spPr>
          </dPt>
          <dPt>
            <idx val="2"/>
            <spPr>
              <a:solidFill>
                <a:srgbClr val="2E6DB4"/>
              </a:solidFill>
              <a:ln>
                <a:noFill/>
                <a:prstDash val="solid"/>
              </a:ln>
            </spPr>
          </dPt>
          <dPt>
            <idx val="3"/>
            <spPr>
              <a:solidFill>
                <a:srgbClr val="A3A3A3"/>
              </a:solidFill>
              <a:ln>
                <a:noFill/>
                <a:prstDash val="solid"/>
              </a:ln>
            </spPr>
          </dPt>
          <dPt>
            <idx val="4"/>
            <spPr>
              <a:solidFill>
                <a:srgbClr val="A3A3A3"/>
              </a:solidFill>
              <a:ln>
                <a:noFill/>
                <a:prstDash val="solid"/>
              </a:ln>
            </spPr>
          </dPt>
          <dPt>
            <idx val="5"/>
            <spPr>
              <a:solidFill>
                <a:srgbClr val="A3A3A3"/>
              </a:solidFill>
              <a:ln>
                <a:noFill/>
                <a:prstDash val="solid"/>
              </a:ln>
            </spPr>
          </dPt>
          <dPt>
            <idx val="6"/>
            <spPr>
              <a:solidFill>
                <a:srgbClr val="A3A3A3"/>
              </a:solidFill>
              <a:ln>
                <a:noFill/>
                <a:prstDash val="solid"/>
              </a:ln>
            </spPr>
          </dPt>
          <dPt>
            <idx val="7"/>
            <spPr>
              <a:solidFill>
                <a:srgbClr val="A3A3A3"/>
              </a:solidFill>
              <a:ln>
                <a:noFill/>
                <a:prstDash val="solid"/>
              </a:ln>
            </spPr>
          </dPt>
          <dPt>
            <idx val="8"/>
            <spPr>
              <a:solidFill>
                <a:srgbClr val="A3A3A3"/>
              </a:solidFill>
              <a:ln>
                <a:noFill/>
                <a:prstDash val="solid"/>
              </a:ln>
            </spPr>
          </dPt>
          <dPt>
            <idx val="9"/>
            <spPr>
              <a:solidFill>
                <a:srgbClr val="A3A3A3"/>
              </a:solidFill>
              <a:ln>
                <a:noFill/>
                <a:prstDash val="solid"/>
              </a:ln>
            </spPr>
          </dPt>
          <dPt>
            <idx val="10"/>
            <spPr>
              <a:solidFill>
                <a:srgbClr val="A3A3A3"/>
              </a:solidFill>
              <a:ln>
                <a:noFill/>
                <a:prstDash val="solid"/>
              </a:ln>
            </spPr>
          </dPt>
          <dPt>
            <idx val="11"/>
            <spPr>
              <a:solidFill>
                <a:srgbClr val="A3A3A3"/>
              </a:solidFill>
              <a:ln>
                <a:noFill/>
                <a:prstDash val="solid"/>
              </a:ln>
            </spPr>
          </dPt>
          <dPt>
            <idx val="12"/>
            <spPr>
              <a:solidFill>
                <a:srgbClr val="A3A3A3"/>
              </a:solidFill>
              <a:ln>
                <a:noFill/>
                <a:prstDash val="solid"/>
              </a:ln>
            </spPr>
          </dPt>
          <dPt>
            <idx val="13"/>
            <spPr>
              <a:solidFill>
                <a:srgbClr val="1F3A5F"/>
              </a:solidFill>
              <a:ln>
                <a:noFill/>
                <a:prstDash val="solid"/>
              </a:ln>
            </spPr>
          </dPt>
          <dPt>
            <idx val="14"/>
            <spPr>
              <a:solidFill>
                <a:srgbClr val="A3A3A3"/>
              </a:solidFill>
              <a:ln>
                <a:noFill/>
                <a:prstDash val="solid"/>
              </a:ln>
            </spPr>
          </dPt>
          <dPt>
            <idx val="15"/>
            <spPr>
              <a:solidFill>
                <a:srgbClr val="A3A3A3"/>
              </a:solidFill>
              <a:ln>
                <a:noFill/>
                <a:prstDash val="solid"/>
              </a:ln>
            </spPr>
          </dPt>
          <dPt>
            <idx val="16"/>
            <spPr>
              <a:solidFill>
                <a:srgbClr val="A3A3A3"/>
              </a:solidFill>
              <a:ln>
                <a:noFill/>
                <a:prstDash val="solid"/>
              </a:ln>
            </spPr>
          </dPt>
          <dPt>
            <idx val="17"/>
            <spPr>
              <a:solidFill>
                <a:srgbClr val="A3A3A3"/>
              </a:solidFill>
              <a:ln>
                <a:noFill/>
                <a:prstDash val="solid"/>
              </a:ln>
            </spPr>
          </dPt>
          <dPt>
            <idx val="18"/>
            <spPr>
              <a:solidFill>
                <a:srgbClr val="A3A3A3"/>
              </a:solidFill>
              <a:ln>
                <a:noFill/>
                <a:prstDash val="solid"/>
              </a:ln>
            </spPr>
          </dPt>
          <dPt>
            <idx val="19"/>
            <spPr>
              <a:solidFill>
                <a:srgbClr val="A3A3A3"/>
              </a:solidFill>
              <a:ln>
                <a:noFill/>
                <a:prstDash val="solid"/>
              </a:ln>
            </spPr>
          </dPt>
          <dPt>
            <idx val="20"/>
            <spPr>
              <a:solidFill>
                <a:srgbClr val="A3A3A3"/>
              </a:solidFill>
              <a:ln>
                <a:noFill/>
                <a:prstDash val="solid"/>
              </a:ln>
            </spPr>
          </dPt>
          <dPt>
            <idx val="21"/>
            <spPr>
              <a:solidFill>
                <a:srgbClr val="A3A3A3"/>
              </a:solidFill>
              <a:ln>
                <a:noFill/>
                <a:prstDash val="solid"/>
              </a:ln>
            </spPr>
          </dPt>
          <dPt>
            <idx val="22"/>
            <spPr>
              <a:solidFill>
                <a:srgbClr val="A3A3A3"/>
              </a:solidFill>
              <a:ln>
                <a:noFill/>
                <a:prstDash val="solid"/>
              </a:ln>
            </spPr>
          </dPt>
          <dPt>
            <idx val="23"/>
            <spPr>
              <a:solidFill>
                <a:srgbClr val="A3A3A3"/>
              </a:solidFill>
              <a:ln>
                <a:noFill/>
                <a:prstDash val="solid"/>
              </a:ln>
            </spPr>
          </dPt>
          <dPt>
            <idx val="24"/>
            <spPr>
              <a:solidFill>
                <a:srgbClr val="A3A3A3"/>
              </a:solidFill>
              <a:ln>
                <a:noFill/>
                <a:prstDash val="solid"/>
              </a:ln>
            </spPr>
          </dPt>
          <dPt>
            <idx val="25"/>
            <spPr>
              <a:solidFill>
                <a:srgbClr val="A3A3A3"/>
              </a:solidFill>
              <a:ln>
                <a:noFill/>
                <a:prstDash val="solid"/>
              </a:ln>
            </spPr>
          </dPt>
          <dPt>
            <idx val="26"/>
            <spPr>
              <a:solidFill>
                <a:srgbClr val="A3A3A3"/>
              </a:solidFill>
              <a:ln>
                <a:noFill/>
                <a:prstDash val="solid"/>
              </a:ln>
            </spPr>
          </dPt>
          <dPt>
            <idx val="27"/>
            <spPr>
              <a:solidFill>
                <a:srgbClr val="A3A3A3"/>
              </a:solidFill>
              <a:ln>
                <a:noFill/>
                <a:prstDash val="solid"/>
              </a:ln>
            </spPr>
          </dPt>
          <cat>
            <numRef>
              <f>'F5_EU27'!$A$5:$A$32</f>
            </numRef>
          </cat>
          <val>
            <numRef>
              <f>'F5_EU27'!$B$5:$B$32</f>
            </numRef>
          </val>
        </ser>
        <gapWidth val="80"/>
        <axId val="10"/>
        <axId val="100"/>
      </barChart>
      <catAx>
        <axId val="10"/>
        <scaling>
          <orientation val="minMax"/>
        </scaling>
        <axPos val="l"/>
        <title>
          <tx>
            <rich>
              <a:bodyPr/>
              <a:p>
                <a:pPr>
                  <a:defRPr/>
                </a:pPr>
                <a:r>
                  <a:t>% of internet users</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7.xml><?xml version="1.0" encoding="utf-8"?>
<chartSpace xmlns:a="http://schemas.openxmlformats.org/drawingml/2006/main" xmlns="http://schemas.openxmlformats.org/drawingml/2006/chart">
  <chart>
    <plotArea>
      <scatterChart>
        <ser>
          <idx val="0"/>
          <order val="0"/>
          <tx>
            <strRef>
              <f>'F6_ADOPT_BENEFIT'!D4</f>
            </strRef>
          </tx>
          <spPr>
            <a:ln>
              <a:noFill/>
              <a:prstDash val="solid"/>
            </a:ln>
          </spPr>
          <marker>
            <symbol val="circle"/>
            <size val="9"/>
            <spPr>
              <a:solidFill>
                <a:srgbClr val="2E6DB4"/>
              </a:solidFill>
              <a:ln>
                <a:noFill/>
                <a:prstDash val="solid"/>
              </a:ln>
            </spPr>
          </marker>
          <trendline>
            <spPr>
              <a:l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a:p>
                <a:pPr>
                  <a:defRPr/>
                </a:pPr>
                <a:r>
                  <a:t>Individuals who bought online (% of internet users)</a:t>
                </a:r>
              </a:p>
            </rich>
          </tx>
        </title>
        <majorTickMark val="none"/>
        <minorTickMark val="none"/>
        <spPr>
          <a:ln>
            <a:noFill/>
            <a:prstDash val="solid"/>
          </a:ln>
        </spPr>
        <crossAx val="20"/>
      </valAx>
      <valAx>
        <axId val="20"/>
        <scaling>
          <orientation val="minMax"/>
          <min val="0"/>
        </scaling>
        <axPos val="l"/>
        <title>
          <tx>
            <rich>
              <a:bodyPr/>
              <a:p>
                <a:pPr>
                  <a:defRPr/>
                </a:pPr>
                <a:r>
                  <a:t>E-sales as % of enterprise turnover</a:t>
                </a:r>
              </a:p>
            </rich>
          </tx>
        </title>
        <majorTickMark val="none"/>
        <minorTickMark val="none"/>
        <spPr>
          <a:ln>
            <a:noFill/>
            <a:prstDash val="solid"/>
          </a:ln>
        </spPr>
        <crossAx val="10"/>
      </valAx>
    </plotArea>
    <plotVisOnly val="1"/>
    <dispBlanksAs val="gap"/>
  </chart>
</chartSpace>
</file>

<file path=xl/charts/chart8.xml><?xml version="1.0" encoding="utf-8"?>
<chartSpace xmlns:a="http://schemas.openxmlformats.org/drawingml/2006/main" xmlns="http://schemas.openxmlformats.org/drawingml/2006/chart">
  <chart>
    <plotArea>
      <barChart>
        <barDir val="bar"/>
        <grouping val="clustered"/>
        <ser>
          <idx val="0"/>
          <order val="0"/>
          <tx>
            <strRef>
              <f>'F7_QUALITY'!B4</f>
            </strRef>
          </tx>
          <spPr>
            <a:solidFill>
              <a:srgbClr val="2E6DB4"/>
            </a:solidFill>
            <a:ln>
              <a:noFill/>
              <a:prstDash val="solid"/>
            </a:ln>
          </spPr>
          <cat>
            <numRef>
              <f>'F7_QUALITY'!$A$5:$A$8</f>
            </numRef>
          </cat>
          <val>
            <numRef>
              <f>'F7_QUALITY'!$B$5:$B$8</f>
            </numRef>
          </val>
        </ser>
        <ser>
          <idx val="1"/>
          <order val="1"/>
          <tx>
            <strRef>
              <f>'F7_QUALITY'!C4</f>
            </strRef>
          </tx>
          <spPr>
            <a:solidFill>
              <a:srgbClr val="A3A3A3"/>
            </a:solidFill>
            <a:ln>
              <a:noFill/>
              <a:prstDash val="solid"/>
            </a:ln>
          </spPr>
          <cat>
            <numRef>
              <f>'F7_QUALITY'!$A$5:$A$8</f>
            </numRef>
          </cat>
          <val>
            <numRef>
              <f>'F7_QUALITY'!$C$5:$C$8</f>
            </numRef>
          </val>
        </ser>
        <gapWidth val="80"/>
        <overlap val="-27"/>
        <axId val="10"/>
        <axId val="100"/>
      </barChart>
      <catAx>
        <axId val="10"/>
        <scaling>
          <orientation val="minMax"/>
        </scaling>
        <axPos val="l"/>
        <title>
          <tx>
            <rich>
              <a:bodyPr/>
              <a:p>
                <a:pPr>
                  <a:defRPr/>
                </a:pPr>
                <a:r>
                  <a:t>% or benchmark score</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legend>
      <legendPos val="b"/>
      <overlay val="0"/>
    </legend>
    <plotVisOnly val="1"/>
    <dispBlanksAs val="gap"/>
  </chart>
</chartSpace>
</file>

<file path=xl/charts/chart9.xml><?xml version="1.0" encoding="utf-8"?>
<chartSpace xmlns:a="http://schemas.openxmlformats.org/drawingml/2006/main" xmlns="http://schemas.openxmlformats.org/drawingml/2006/chart">
  <chart>
    <plotArea>
      <barChart>
        <barDir val="bar"/>
        <grouping val="clustered"/>
        <ser>
          <idx val="0"/>
          <order val="0"/>
          <tx>
            <strRef>
              <f>'F8_SMVDIGITAL'!B4</f>
            </strRef>
          </tx>
          <spPr>
            <a:solidFill>
              <a:srgbClr val="2E6DB4"/>
            </a:solidFill>
            <a:ln>
              <a:noFill/>
              <a:prstDash val="solid"/>
            </a:ln>
          </spPr>
          <cat>
            <numRef>
              <f>'F8_SMVDIGITAL'!$A$5:$A$7</f>
            </numRef>
          </cat>
          <val>
            <numRef>
              <f>'F8_SMVDIGITAL'!$B$5:$B$7</f>
            </numRef>
          </val>
        </ser>
        <gapWidth val="80"/>
        <axId val="10"/>
        <axId val="100"/>
      </barChart>
      <catAx>
        <axId val="10"/>
        <scaling>
          <orientation val="minMax"/>
        </scaling>
        <axPos val="l"/>
        <title>
          <tx>
            <rich>
              <a:bodyPr/>
              <a:p>
                <a:pPr>
                  <a:defRPr/>
                </a:pPr>
                <a:r>
                  <a:t>% of participating enterprises / count</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10.xml><?xml version="1.0" encoding="utf-8"?>
<chartSpace xmlns:a="http://schemas.openxmlformats.org/drawingml/2006/main" xmlns="http://schemas.openxmlformats.org/drawingml/2006/chart">
  <chart>
    <plotArea>
      <barChart>
        <barDir val="bar"/>
        <grouping val="clustered"/>
        <ser>
          <idx val="0"/>
          <order val="0"/>
          <tx>
            <strRef>
              <f>'F9_CONSOLIDATION'!H4</f>
            </strRef>
          </tx>
          <spPr>
            <a:solidFill>
              <a:srgbClr val="1F3A5F"/>
            </a:solidFill>
            <a:ln>
              <a:noFill/>
              <a:prstDash val="solid"/>
            </a:ln>
          </spPr>
          <dPt>
            <idx val="0"/>
            <spPr>
              <a:solidFill>
                <a:srgbClr val="1F3A5F"/>
              </a:solidFill>
              <a:ln>
                <a:noFill/>
                <a:prstDash val="solid"/>
              </a:ln>
            </spPr>
          </dPt>
          <dPt>
            <idx val="1"/>
            <spPr>
              <a:solidFill>
                <a:srgbClr val="1F3A5F"/>
              </a:solidFill>
              <a:ln>
                <a:noFill/>
                <a:prstDash val="solid"/>
              </a:ln>
            </spPr>
          </dPt>
          <dPt>
            <idx val="2"/>
            <spPr>
              <a:solidFill>
                <a:srgbClr val="2E6DB4"/>
              </a:solidFill>
              <a:ln>
                <a:noFill/>
                <a:prstDash val="solid"/>
              </a:ln>
            </spPr>
          </dPt>
          <cat>
            <numRef>
              <f>'F9_CONSOLIDATION'!$G$5:$G$7</f>
            </numRef>
          </cat>
          <val>
            <numRef>
              <f>'F9_CONSOLIDATION'!$H$5:$H$7</f>
            </numRef>
          </val>
        </ser>
        <gapWidth val="80"/>
        <axId val="10"/>
        <axId val="100"/>
      </barChart>
      <catAx>
        <axId val="10"/>
        <scaling>
          <orientation val="minMax"/>
        </scaling>
        <axPos val="l"/>
        <title>
          <tx>
            <rich>
              <a:bodyPr/>
              <a:p>
                <a:pPr>
                  <a:defRPr/>
                </a:pPr>
                <a:r>
                  <a:t>Change over the stated period</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11.xml><?xml version="1.0" encoding="utf-8"?>
<chartSpace xmlns:a="http://schemas.openxmlformats.org/drawingml/2006/main" xmlns="http://schemas.openxmlformats.org/drawingml/2006/chart">
  <chart>
    <plotArea>
      <barChart>
        <barDir val="col"/>
        <grouping val="clustered"/>
        <ser>
          <idx val="0"/>
          <order val="0"/>
          <tx>
            <strRef>
              <f>'F10_SKILLS'!B4</f>
            </strRef>
          </tx>
          <spPr>
            <a:solidFill>
              <a:srgbClr val="2E6DB4"/>
            </a:solidFill>
            <a:ln>
              <a:noFill/>
              <a:prstDash val="solid"/>
            </a:ln>
          </spPr>
          <cat>
            <numRef>
              <f>'F10_SKILLS'!$A$5:$A$7</f>
            </numRef>
          </cat>
          <val>
            <numRef>
              <f>'F10_SKILLS'!$B$5:$B$7</f>
            </numRef>
          </val>
        </ser>
        <ser>
          <idx val="1"/>
          <order val="1"/>
          <tx>
            <strRef>
              <f>'F10_SKILLS'!C4</f>
            </strRef>
          </tx>
          <spPr>
            <a:solidFill>
              <a:srgbClr val="A3A3A3"/>
            </a:solidFill>
            <a:ln>
              <a:noFill/>
              <a:prstDash val="solid"/>
            </a:ln>
          </spPr>
          <cat>
            <numRef>
              <f>'F10_SKILLS'!$A$5:$A$7</f>
            </numRef>
          </cat>
          <val>
            <numRef>
              <f>'F10_SKILLS'!$C$5:$C$7</f>
            </numRef>
          </val>
        </ser>
        <gapWidth val="80"/>
        <overlap val="-27"/>
        <axId val="10"/>
        <axId val="100"/>
      </barChart>
      <catAx>
        <axId val="10"/>
        <scaling>
          <orientation val="minMax"/>
        </scaling>
        <axPos val="l"/>
        <title>
          <tx>
            <rich>
              <a:bodyPr/>
              <a:p>
                <a:pPr>
                  <a:defRPr/>
                </a:pPr>
                <a:r>
                  <a:t>Age band</a:t>
                </a:r>
              </a:p>
            </rich>
          </tx>
        </title>
        <majorTickMark val="none"/>
        <minorTickMark val="none"/>
        <spPr>
          <a:ln>
            <a:noFill/>
            <a:prstDash val="solid"/>
          </a:ln>
        </spPr>
        <crossAx val="100"/>
        <lblOffset val="100"/>
      </catAx>
      <valAx>
        <axId val="100"/>
        <scaling>
          <orientation val="minMax"/>
          <max val="100"/>
        </scaling>
        <axPos val="l"/>
        <title>
          <tx>
            <rich>
              <a:bodyPr/>
              <a:p>
                <a:pPr>
                  <a:defRPr/>
                </a:pPr>
                <a:r>
                  <a:t>% of age group</a:t>
                </a:r>
              </a:p>
            </rich>
          </tx>
        </title>
        <majorTickMark val="none"/>
        <minorTickMark val="none"/>
        <spPr>
          <a:l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_rels/drawing10.xml.rels><Relationships xmlns="http://schemas.openxmlformats.org/package/2006/relationships"><Relationship Type="http://schemas.openxmlformats.org/officeDocument/2006/relationships/chart" Target="/xl/charts/chart1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10</row>
      <rowOff>0</rowOff>
    </from>
    <ext cx="540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120000" cy="64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_rels/sheet15.xml.rels><Relationships xmlns="http://schemas.openxmlformats.org/package/2006/relationships"><Relationship Type="http://schemas.openxmlformats.org/officeDocument/2006/relationships/drawing" Target="/xl/drawings/drawing9.xml" Id="rId1" /></Relationships>
</file>

<file path=xl/worksheets/_rels/sheet16.xml.rels><Relationships xmlns="http://schemas.openxmlformats.org/package/2006/relationships"><Relationship Type="http://schemas.openxmlformats.org/officeDocument/2006/relationships/drawing" Target="/xl/drawings/drawing10.xml" Id="rId1" /></Relationships>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2026-09-13</t>
        </is>
      </c>
    </row>
    <row r="10">
      <c r="A10" s="3" t="inlineStr">
        <is>
          <t>Observations</t>
        </is>
      </c>
      <c r="B10" s="4" t="inlineStr">
        <is>
          <t>113</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2026-09-13.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09_POLICY</t>
        </is>
      </c>
      <c r="B34" s="6" t="inlineStr">
        <is>
          <t>Policy events - dated instruments with legal citations</t>
        </is>
      </c>
    </row>
    <row r="35">
      <c r="A35" s="5" t="inlineStr">
        <is>
          <t>06_RETAIL_GAP</t>
        </is>
      </c>
      <c r="B35" s="6" t="inlineStr">
        <is>
          <t>Documented gap - retail volume index not retrieved</t>
        </is>
      </c>
    </row>
    <row r="36">
      <c r="A36" s="5" t="inlineStr">
        <is>
          <t>07_LIMITATIONS</t>
        </is>
      </c>
      <c r="B36" s="6" t="inlineStr">
        <is>
          <t>Data quality statement - read before citing</t>
        </is>
      </c>
    </row>
    <row r="37">
      <c r="A37" s="5" t="inlineStr">
        <is>
          <t>08_AI_LOG</t>
        </is>
      </c>
      <c r="B37"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carried as EU.SKL.1624.</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carried as EU.SKL.2554.</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carried as EU.SKL.5574.</t>
        </is>
      </c>
    </row>
    <row r="94">
      <c r="A94" s="13" t="n">
        <v>93</v>
      </c>
      <c r="B94" s="14" t="inlineStr">
        <is>
          <t>EU.SKL.1624</t>
        </is>
      </c>
      <c r="C94" s="15" t="inlineStr">
        <is>
          <t>At least basic digital skills, age 16-24</t>
        </is>
      </c>
      <c r="D94" s="13" t="inlineStr">
        <is>
          <t>EU27</t>
        </is>
      </c>
      <c r="E94" s="13" t="n">
        <v>2025</v>
      </c>
      <c r="F94" s="16" t="n">
        <v>74.55</v>
      </c>
      <c r="G94" s="13" t="inlineStr">
        <is>
          <t>%</t>
        </is>
      </c>
      <c r="H94" s="15" t="inlineStr">
        <is>
          <t>% of age group</t>
        </is>
      </c>
      <c r="I94" s="13" t="inlineStr"/>
      <c r="J94" s="14" t="inlineStr">
        <is>
          <t>EC1</t>
        </is>
      </c>
      <c r="K94" s="13" t="inlineStr">
        <is>
          <t>2026-09-12</t>
        </is>
      </c>
      <c r="L94" s="15" t="inlineStr">
        <is>
          <t>Comparator for DK.SKL.1624.</t>
        </is>
      </c>
    </row>
    <row r="95">
      <c r="A95" s="13" t="n">
        <v>94</v>
      </c>
      <c r="B95" s="14" t="inlineStr">
        <is>
          <t>EU.SKL.2554</t>
        </is>
      </c>
      <c r="C95" s="15" t="inlineStr">
        <is>
          <t>At least basic digital skills, age 25-54</t>
        </is>
      </c>
      <c r="D95" s="13" t="inlineStr">
        <is>
          <t>EU27</t>
        </is>
      </c>
      <c r="E95" s="13" t="n">
        <v>2025</v>
      </c>
      <c r="F95" s="16" t="n">
        <v>68.56999999999999</v>
      </c>
      <c r="G95" s="13" t="inlineStr">
        <is>
          <t>%</t>
        </is>
      </c>
      <c r="H95" s="15" t="inlineStr">
        <is>
          <t>% of age group</t>
        </is>
      </c>
      <c r="I95" s="13" t="inlineStr"/>
      <c r="J95" s="14" t="inlineStr">
        <is>
          <t>EC1</t>
        </is>
      </c>
      <c r="K95" s="13" t="inlineStr">
        <is>
          <t>2026-09-12</t>
        </is>
      </c>
      <c r="L95" s="15" t="inlineStr">
        <is>
          <t>Comparator for DK.SKL.2554.</t>
        </is>
      </c>
    </row>
    <row r="96">
      <c r="A96" s="13" t="n">
        <v>95</v>
      </c>
      <c r="B96" s="14" t="inlineStr">
        <is>
          <t>EU.SKL.5574</t>
        </is>
      </c>
      <c r="C96" s="15" t="inlineStr">
        <is>
          <t>At least basic digital skills, age 55-74</t>
        </is>
      </c>
      <c r="D96" s="13" t="inlineStr">
        <is>
          <t>EU27</t>
        </is>
      </c>
      <c r="E96" s="13" t="n">
        <v>2025</v>
      </c>
      <c r="F96" s="16" t="n">
        <v>42.6</v>
      </c>
      <c r="G96" s="13" t="inlineStr">
        <is>
          <t>%</t>
        </is>
      </c>
      <c r="H96" s="15" t="inlineStr">
        <is>
          <t>% of age group</t>
        </is>
      </c>
      <c r="I96" s="13" t="inlineStr"/>
      <c r="J96" s="14" t="inlineStr">
        <is>
          <t>EC1</t>
        </is>
      </c>
      <c r="K96" s="13" t="inlineStr">
        <is>
          <t>2026-09-12</t>
        </is>
      </c>
      <c r="L96" s="15" t="inlineStr">
        <is>
          <t>Comparator for DK.SKL.5574.</t>
        </is>
      </c>
    </row>
    <row r="97">
      <c r="A97" s="13" t="n">
        <v>96</v>
      </c>
      <c r="B97" s="14" t="inlineStr">
        <is>
          <t>DK.ENT.DII</t>
        </is>
      </c>
      <c r="C97" s="15" t="inlineStr">
        <is>
          <t>SMEs with at least basic digital intensity</t>
        </is>
      </c>
      <c r="D97" s="13" t="inlineStr">
        <is>
          <t>DK</t>
        </is>
      </c>
      <c r="E97" s="13" t="n">
        <v>2025</v>
      </c>
      <c r="F97" s="16" t="n">
        <v>92.45</v>
      </c>
      <c r="G97" s="13" t="inlineStr">
        <is>
          <t>%</t>
        </is>
      </c>
      <c r="H97" s="15" t="inlineStr">
        <is>
          <t>% of SMEs</t>
        </is>
      </c>
      <c r="I97" s="13" t="inlineStr"/>
      <c r="J97" s="14" t="inlineStr">
        <is>
          <t>EC1</t>
        </is>
      </c>
      <c r="K97" s="13" t="inlineStr">
        <is>
          <t>2026-09-12</t>
        </is>
      </c>
      <c r="L97" s="15" t="inlineStr">
        <is>
          <t>EU average 71.39%.</t>
        </is>
      </c>
    </row>
    <row r="98">
      <c r="A98" s="13" t="n">
        <v>97</v>
      </c>
      <c r="B98" s="14" t="inlineStr">
        <is>
          <t>EU.ENT.DII</t>
        </is>
      </c>
      <c r="C98" s="15" t="inlineStr">
        <is>
          <t>SMEs with at least basic digital intensity</t>
        </is>
      </c>
      <c r="D98" s="13" t="inlineStr">
        <is>
          <t>EU27</t>
        </is>
      </c>
      <c r="E98" s="13" t="n">
        <v>2025</v>
      </c>
      <c r="F98" s="16" t="n">
        <v>71.39</v>
      </c>
      <c r="G98" s="13" t="inlineStr">
        <is>
          <t>%</t>
        </is>
      </c>
      <c r="H98" s="15" t="inlineStr">
        <is>
          <t>% of SMEs</t>
        </is>
      </c>
      <c r="I98" s="13" t="inlineStr"/>
      <c r="J98" s="14" t="inlineStr">
        <is>
          <t>EC1</t>
        </is>
      </c>
      <c r="K98" s="13" t="inlineStr">
        <is>
          <t>2026-09-12</t>
        </is>
      </c>
      <c r="L98" s="15" t="inlineStr"/>
    </row>
    <row r="99">
      <c r="A99" s="13" t="n">
        <v>98</v>
      </c>
      <c r="B99" s="14" t="inlineStr">
        <is>
          <t>DK.ENT.AI</t>
        </is>
      </c>
      <c r="C99" s="15" t="inlineStr">
        <is>
          <t>Enterprises adopting AI</t>
        </is>
      </c>
      <c r="D99" s="13" t="inlineStr">
        <is>
          <t>DK</t>
        </is>
      </c>
      <c r="E99" s="13" t="n">
        <v>2025</v>
      </c>
      <c r="F99" s="16" t="n">
        <v>42.03</v>
      </c>
      <c r="G99" s="13" t="inlineStr">
        <is>
          <t>%</t>
        </is>
      </c>
      <c r="H99" s="15" t="inlineStr">
        <is>
          <t>% of enterprises</t>
        </is>
      </c>
      <c r="I99" s="13" t="inlineStr"/>
      <c r="J99" s="14" t="inlineStr">
        <is>
          <t>EC1</t>
        </is>
      </c>
      <c r="K99" s="13" t="inlineStr">
        <is>
          <t>2026-09-12</t>
        </is>
      </c>
      <c r="L99" s="15" t="inlineStr">
        <is>
          <t>EU average 19.95%.</t>
        </is>
      </c>
    </row>
    <row r="100">
      <c r="A100" s="13" t="n">
        <v>99</v>
      </c>
      <c r="B100" s="14" t="inlineStr">
        <is>
          <t>DK.ENT.AI.LRG</t>
        </is>
      </c>
      <c r="C100" s="15" t="inlineStr">
        <is>
          <t>Large enterprises adopting AI</t>
        </is>
      </c>
      <c r="D100" s="13" t="inlineStr">
        <is>
          <t>DK</t>
        </is>
      </c>
      <c r="E100" s="13" t="n">
        <v>2025</v>
      </c>
      <c r="F100" s="16" t="n">
        <v>74.52</v>
      </c>
      <c r="G100" s="13" t="inlineStr">
        <is>
          <t>%</t>
        </is>
      </c>
      <c r="H100" s="15" t="inlineStr">
        <is>
          <t>% of large enterprises (250+)</t>
        </is>
      </c>
      <c r="I100" s="13" t="inlineStr"/>
      <c r="J100" s="14" t="inlineStr">
        <is>
          <t>EC1</t>
        </is>
      </c>
      <c r="K100" s="13" t="inlineStr">
        <is>
          <t>2026-09-12</t>
        </is>
      </c>
      <c r="L100" s="15" t="inlineStr"/>
    </row>
    <row r="101">
      <c r="A101" s="13" t="n">
        <v>100</v>
      </c>
      <c r="B101" s="14" t="inlineStr">
        <is>
          <t>DK.ENT.AI.SME</t>
        </is>
      </c>
      <c r="C101" s="15" t="inlineStr">
        <is>
          <t>SMEs adopting AI</t>
        </is>
      </c>
      <c r="D101" s="13" t="inlineStr">
        <is>
          <t>DK</t>
        </is>
      </c>
      <c r="E101" s="13" t="n">
        <v>2025</v>
      </c>
      <c r="F101" s="16" t="n">
        <v>40.99</v>
      </c>
      <c r="G101" s="13" t="inlineStr">
        <is>
          <t>%</t>
        </is>
      </c>
      <c r="H101" s="15" t="inlineStr">
        <is>
          <t>% of SMEs (10-249)</t>
        </is>
      </c>
      <c r="I101" s="13" t="inlineStr"/>
      <c r="J101" s="14" t="inlineStr">
        <is>
          <t>EC1</t>
        </is>
      </c>
      <c r="K101" s="13" t="inlineStr">
        <is>
          <t>2026-09-12</t>
        </is>
      </c>
      <c r="L101" s="15" t="inlineStr"/>
    </row>
    <row r="102">
      <c r="A102" s="13" t="n">
        <v>101</v>
      </c>
      <c r="B102" s="14" t="inlineStr">
        <is>
          <t>DK.GOV.DPS.CIT</t>
        </is>
      </c>
      <c r="C102" s="15" t="inlineStr">
        <is>
          <t>Digital public services for citizens (score)</t>
        </is>
      </c>
      <c r="D102" s="13" t="inlineStr">
        <is>
          <t>DK</t>
        </is>
      </c>
      <c r="E102" s="13" t="n">
        <v>2025</v>
      </c>
      <c r="F102" s="16" t="n">
        <v>82.2</v>
      </c>
      <c r="G102" s="13" t="inlineStr">
        <is>
          <t>score 0-100</t>
        </is>
      </c>
      <c r="H102" s="15" t="inlineStr">
        <is>
          <t>eGovernment Benchmark score</t>
        </is>
      </c>
      <c r="I102" s="13" t="inlineStr"/>
      <c r="J102" s="14" t="inlineStr">
        <is>
          <t>EC1</t>
        </is>
      </c>
      <c r="K102" s="13" t="inlineStr">
        <is>
          <t>2026-09-12</t>
        </is>
      </c>
      <c r="L102" s="15" t="inlineStr">
        <is>
          <t>BELOW the EU average of 84.64.</t>
        </is>
      </c>
    </row>
    <row r="103">
      <c r="A103" s="13" t="n">
        <v>102</v>
      </c>
      <c r="B103" s="14" t="inlineStr">
        <is>
          <t>EU.GOV.DPS.CIT</t>
        </is>
      </c>
      <c r="C103" s="15" t="inlineStr">
        <is>
          <t>Digital public services for citizens (score)</t>
        </is>
      </c>
      <c r="D103" s="13" t="inlineStr">
        <is>
          <t>EU27</t>
        </is>
      </c>
      <c r="E103" s="13" t="n">
        <v>2025</v>
      </c>
      <c r="F103" s="16" t="n">
        <v>84.64</v>
      </c>
      <c r="G103" s="13" t="inlineStr">
        <is>
          <t>score 0-100</t>
        </is>
      </c>
      <c r="H103" s="15" t="inlineStr">
        <is>
          <t>eGovernment Benchmark score</t>
        </is>
      </c>
      <c r="I103" s="13" t="inlineStr"/>
      <c r="J103" s="14" t="inlineStr">
        <is>
          <t>EC1</t>
        </is>
      </c>
      <c r="K103" s="13" t="inlineStr">
        <is>
          <t>2026-09-12</t>
        </is>
      </c>
      <c r="L103" s="15" t="inlineStr"/>
    </row>
    <row r="104">
      <c r="A104" s="13" t="n">
        <v>103</v>
      </c>
      <c r="B104" s="14" t="inlineStr">
        <is>
          <t>DK.GOV.DPS.XB</t>
        </is>
      </c>
      <c r="C104" s="15" t="inlineStr">
        <is>
          <t>Cross-border digital public services, citizens (score)</t>
        </is>
      </c>
      <c r="D104" s="13" t="inlineStr">
        <is>
          <t>DK</t>
        </is>
      </c>
      <c r="E104" s="13" t="n">
        <v>2025</v>
      </c>
      <c r="F104" s="16" t="n">
        <v>64.40000000000001</v>
      </c>
      <c r="G104" s="13" t="inlineStr">
        <is>
          <t>score 0-100</t>
        </is>
      </c>
      <c r="H104" s="15" t="inlineStr">
        <is>
          <t>eGovernment Benchmark score</t>
        </is>
      </c>
      <c r="I104" s="13" t="inlineStr"/>
      <c r="J104" s="14" t="inlineStr">
        <is>
          <t>EC1</t>
        </is>
      </c>
      <c r="K104" s="13" t="inlineStr">
        <is>
          <t>2026-09-12</t>
        </is>
      </c>
      <c r="L104" s="15" t="inlineStr">
        <is>
          <t>EU average 75.28.</t>
        </is>
      </c>
    </row>
    <row r="105">
      <c r="A105" s="13" t="n">
        <v>104</v>
      </c>
      <c r="B105" s="14" t="inlineStr">
        <is>
          <t>DK.ENV.WEEE</t>
        </is>
      </c>
      <c r="C105" s="15" t="inlineStr">
        <is>
          <t>ICT waste recycled or prepared for reuse</t>
        </is>
      </c>
      <c r="D105" s="13" t="inlineStr">
        <is>
          <t>DK</t>
        </is>
      </c>
      <c r="E105" s="13" t="n">
        <v>2023</v>
      </c>
      <c r="F105" s="16" t="n">
        <v>15.37</v>
      </c>
      <c r="G105" s="13" t="inlineStr">
        <is>
          <t>%</t>
        </is>
      </c>
      <c r="H105" s="15" t="inlineStr">
        <is>
          <t>% of ICT-related WEEE collected</t>
        </is>
      </c>
      <c r="I105" s="13" t="inlineStr"/>
      <c r="J105" s="14" t="inlineStr">
        <is>
          <t>EC1</t>
        </is>
      </c>
      <c r="K105" s="13" t="inlineStr">
        <is>
          <t>2026-09-12</t>
        </is>
      </c>
      <c r="L105" s="15" t="inlineStr">
        <is>
          <t>Among the lowest in the EU; EU average 80.23%.</t>
        </is>
      </c>
    </row>
    <row r="106">
      <c r="A106" s="13" t="n">
        <v>105</v>
      </c>
      <c r="B106" s="14" t="inlineStr">
        <is>
          <t>EU.ENV.WEEE</t>
        </is>
      </c>
      <c r="C106" s="15" t="inlineStr">
        <is>
          <t>ICT waste recycled or prepared for reuse</t>
        </is>
      </c>
      <c r="D106" s="13" t="inlineStr">
        <is>
          <t>EU27</t>
        </is>
      </c>
      <c r="E106" s="13" t="n">
        <v>2023</v>
      </c>
      <c r="F106" s="16" t="n">
        <v>80.23</v>
      </c>
      <c r="G106" s="13" t="inlineStr">
        <is>
          <t>%</t>
        </is>
      </c>
      <c r="H106" s="15" t="inlineStr">
        <is>
          <t>% of ICT-related WEEE collected</t>
        </is>
      </c>
      <c r="I106" s="13" t="inlineStr"/>
      <c r="J106" s="14" t="inlineStr">
        <is>
          <t>EC1</t>
        </is>
      </c>
      <c r="K106" s="13" t="inlineStr">
        <is>
          <t>2026-09-12</t>
        </is>
      </c>
      <c r="L106" s="15" t="inlineStr"/>
    </row>
    <row r="107">
      <c r="A107" s="18" t="n">
        <v>106</v>
      </c>
      <c r="B107" s="19" t="inlineStr">
        <is>
          <t>DK.SME.SMVD.PROJ</t>
        </is>
      </c>
      <c r="C107" s="20" t="inlineStr">
        <is>
          <t>SMV:Digital projects supported since 2018</t>
        </is>
      </c>
      <c r="D107" s="18" t="inlineStr">
        <is>
          <t>DK</t>
        </is>
      </c>
      <c r="E107" s="18" t="n">
        <v>2025</v>
      </c>
      <c r="F107" s="21" t="n">
        <v>7000</v>
      </c>
      <c r="G107" s="18" t="inlineStr">
        <is>
          <t>count</t>
        </is>
      </c>
      <c r="H107" s="20" t="inlineStr">
        <is>
          <t>digitalisation projects</t>
        </is>
      </c>
      <c r="I107" s="18" t="inlineStr">
        <is>
          <t>e</t>
        </is>
      </c>
      <c r="J107" s="19" t="inlineStr">
        <is>
          <t>DG3</t>
        </is>
      </c>
      <c r="K107" s="18" t="inlineStr">
        <is>
          <t>2026-09-12</t>
        </is>
      </c>
      <c r="L107" s="20" t="inlineStr">
        <is>
          <t>Source states 'knap 7.000' (just under 7,000).</t>
        </is>
      </c>
    </row>
    <row r="108">
      <c r="A108" s="13" t="n">
        <v>107</v>
      </c>
      <c r="B108" s="14" t="inlineStr">
        <is>
          <t>DK.SME.SMVD.INV</t>
        </is>
      </c>
      <c r="C108" s="15" t="inlineStr">
        <is>
          <t>Participants who invested further during the project</t>
        </is>
      </c>
      <c r="D108" s="13" t="inlineStr">
        <is>
          <t>DK</t>
        </is>
      </c>
      <c r="E108" s="13" t="n">
        <v>2025</v>
      </c>
      <c r="F108" s="16" t="n">
        <v>65</v>
      </c>
      <c r="G108" s="13" t="inlineStr">
        <is>
          <t>%</t>
        </is>
      </c>
      <c r="H108" s="15" t="inlineStr">
        <is>
          <t>% of participating enterprises</t>
        </is>
      </c>
      <c r="I108" s="13" t="inlineStr"/>
      <c r="J108" s="14" t="inlineStr">
        <is>
          <t>DG3</t>
        </is>
      </c>
      <c r="K108" s="13" t="inlineStr">
        <is>
          <t>2026-09-12</t>
        </is>
      </c>
      <c r="L108" s="15" t="inlineStr"/>
    </row>
    <row r="109">
      <c r="A109" s="13" t="n">
        <v>108</v>
      </c>
      <c r="B109" s="14" t="inlineStr">
        <is>
          <t>DK.SME.SMVD.NOINV</t>
        </is>
      </c>
      <c r="C109" s="15" t="inlineStr">
        <is>
          <t>Participants with no further investment plans</t>
        </is>
      </c>
      <c r="D109" s="13" t="inlineStr">
        <is>
          <t>DK</t>
        </is>
      </c>
      <c r="E109" s="13" t="n">
        <v>2025</v>
      </c>
      <c r="F109" s="16" t="n">
        <v>2</v>
      </c>
      <c r="G109" s="13" t="inlineStr">
        <is>
          <t>%</t>
        </is>
      </c>
      <c r="H109" s="15" t="inlineStr">
        <is>
          <t>% of participating enterprises</t>
        </is>
      </c>
      <c r="I109" s="13" t="inlineStr"/>
      <c r="J109" s="14" t="inlineStr">
        <is>
          <t>DG3</t>
        </is>
      </c>
      <c r="K109" s="13" t="inlineStr">
        <is>
          <t>2026-09-12</t>
        </is>
      </c>
      <c r="L109" s="15" t="inlineStr"/>
    </row>
    <row r="110">
      <c r="A110" s="13" t="n">
        <v>109</v>
      </c>
      <c r="B110" s="14" t="inlineStr">
        <is>
          <t>DK.POP.TOT</t>
        </is>
      </c>
      <c r="C110" s="15" t="inlineStr">
        <is>
          <t>Resident population</t>
        </is>
      </c>
      <c r="D110" s="13" t="inlineStr">
        <is>
          <t>DK</t>
        </is>
      </c>
      <c r="E110" s="13" t="n">
        <v>2026</v>
      </c>
      <c r="F110" s="17" t="n">
        <v>6025603</v>
      </c>
      <c r="G110" s="13" t="inlineStr">
        <is>
          <t>count</t>
        </is>
      </c>
      <c r="H110" s="15" t="inlineStr">
        <is>
          <t>persons resident in Denmark</t>
        </is>
      </c>
      <c r="I110" s="13" t="inlineStr"/>
      <c r="J110" s="14" t="inlineStr">
        <is>
          <t>DST2</t>
        </is>
      </c>
      <c r="K110" s="13" t="inlineStr">
        <is>
          <t>2026-09-12</t>
        </is>
      </c>
      <c r="L110" s="15" t="inlineStr">
        <is>
          <t>As at 1 January 2026.</t>
        </is>
      </c>
    </row>
    <row r="111">
      <c r="A111" s="18" t="n">
        <v>110</v>
      </c>
      <c r="B111" s="19" t="inlineStr">
        <is>
          <t>DK.DGP.EXMP.N</t>
        </is>
      </c>
      <c r="C111" s="20" t="inlineStr">
        <is>
          <t>Citizens formally exempt from Digital Post</t>
        </is>
      </c>
      <c r="D111" s="18" t="inlineStr">
        <is>
          <t>DK</t>
        </is>
      </c>
      <c r="E111" s="18" t="n">
        <v>2025</v>
      </c>
      <c r="F111" s="21" t="n">
        <v>256000</v>
      </c>
      <c r="G111" s="18" t="inlineStr">
        <is>
          <t>count</t>
        </is>
      </c>
      <c r="H111" s="20" t="inlineStr">
        <is>
          <t>citizens aged 15+ resident in Denmark</t>
        </is>
      </c>
      <c r="I111" s="18" t="inlineStr">
        <is>
          <t>e</t>
        </is>
      </c>
      <c r="J111" s="19" t="inlineStr">
        <is>
          <t>DG1</t>
        </is>
      </c>
      <c r="K111" s="18" t="inlineStr">
        <is>
          <t>2026-09-12</t>
        </is>
      </c>
      <c r="L111" s="20" t="inlineStr">
        <is>
          <t>April 2025; source states approx. 256,000.</t>
        </is>
      </c>
    </row>
    <row r="112">
      <c r="A112" s="13" t="n">
        <v>111</v>
      </c>
      <c r="B112" s="14" t="inlineStr">
        <is>
          <t>DK.DGP.EXMP.N</t>
        </is>
      </c>
      <c r="C112" s="15" t="inlineStr">
        <is>
          <t>Citizens formally exempt from Digital Post</t>
        </is>
      </c>
      <c r="D112" s="13" t="inlineStr">
        <is>
          <t>DK</t>
        </is>
      </c>
      <c r="E112" s="13" t="n">
        <v>2026</v>
      </c>
      <c r="F112" s="17" t="n">
        <v>238479</v>
      </c>
      <c r="G112" s="13" t="inlineStr">
        <is>
          <t>count</t>
        </is>
      </c>
      <c r="H112" s="15" t="inlineStr">
        <is>
          <t>citizens aged 15+ resident in Denmark</t>
        </is>
      </c>
      <c r="I112" s="13" t="inlineStr"/>
      <c r="J112" s="14" t="inlineStr">
        <is>
          <t>DG1</t>
        </is>
      </c>
      <c r="K112" s="13" t="inlineStr">
        <is>
          <t>2026-09-12</t>
        </is>
      </c>
      <c r="L112" s="15" t="inlineStr">
        <is>
          <t>Q1 2026. Paired with the 4.7% rate, implies a 15+ base of about 5.07m.</t>
        </is>
      </c>
    </row>
    <row r="113">
      <c r="A113" s="18" t="n">
        <v>112</v>
      </c>
      <c r="B113" s="19" t="inlineStr">
        <is>
          <t>DK.GOV.DGP.SAVE.PLAN</t>
        </is>
      </c>
      <c r="C113" s="20" t="inlineStr">
        <is>
          <t>Digital Post: projected annual public saving</t>
        </is>
      </c>
      <c r="D113" s="18" t="inlineStr">
        <is>
          <t>DK</t>
        </is>
      </c>
      <c r="E113" s="18" t="n">
        <v>2016</v>
      </c>
      <c r="F113" s="22" t="n">
        <v>1000</v>
      </c>
      <c r="G113" s="18" t="inlineStr">
        <is>
          <t>million DKK per year</t>
        </is>
      </c>
      <c r="H113" s="20" t="inlineStr">
        <is>
          <t>projected annual saving, whole public sector</t>
        </is>
      </c>
      <c r="I113" s="18" t="inlineStr">
        <is>
          <t>e</t>
        </is>
      </c>
      <c r="J113" s="19" t="inlineStr">
        <is>
          <t>RR1</t>
        </is>
      </c>
      <c r="K113" s="18" t="inlineStr">
        <is>
          <t>2026-09-12</t>
        </is>
      </c>
      <c r="L113" s="20" t="inlineStr">
        <is>
          <t>Ministry of Finance business case; Rigsrevisionen reports it as 'approx. 1bn'.</t>
        </is>
      </c>
    </row>
    <row r="114">
      <c r="A114" s="18" t="n">
        <v>113</v>
      </c>
      <c r="B114" s="19" t="inlineStr">
        <is>
          <t>DK.GOV.DGP.SAVE.VERIF</t>
        </is>
      </c>
      <c r="C114" s="20" t="inlineStr">
        <is>
          <t>Digital Post: annual saving verifiable by audit</t>
        </is>
      </c>
      <c r="D114" s="18" t="inlineStr">
        <is>
          <t>DK</t>
        </is>
      </c>
      <c r="E114" s="18" t="n">
        <v>2016</v>
      </c>
      <c r="F114" s="22" t="n">
        <v>450</v>
      </c>
      <c r="G114" s="18" t="inlineStr">
        <is>
          <t>million DKK per year</t>
        </is>
      </c>
      <c r="H114" s="20" t="inlineStr">
        <is>
          <t>verified annual saving, whole public sector</t>
        </is>
      </c>
      <c r="I114" s="18" t="inlineStr">
        <is>
          <t>e</t>
        </is>
      </c>
      <c r="J114" s="19" t="inlineStr">
        <is>
          <t>RR1</t>
        </is>
      </c>
      <c r="K114" s="18" t="inlineStr">
        <is>
          <t>2026-09-12</t>
        </is>
      </c>
      <c r="L114" s="20" t="inlineStr">
        <is>
          <t>Postage, paper and envelopes only. The wage and overhead component was never verified: the cross-government study was abandoned after KL declined to take part.</t>
        </is>
      </c>
    </row>
  </sheetData>
  <autoFilter ref="A1:L11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NB2</t>
        </is>
      </c>
      <c r="B3" s="15" t="inlineStr">
        <is>
          <t>Danmarks Nationalbank</t>
        </is>
      </c>
      <c r="C3" s="15" t="inlineStr">
        <is>
          <t>[REFERENCE ONLY - supports argument in the report; no workbook value depends on it] Danskerne betaler mere digitalt – det gør offline-betalinger endnu vigtigere som beredskab (press release, 26 June 2026)</t>
        </is>
      </c>
      <c r="D3" s="15" t="inlineStr"/>
      <c r="E3" s="15" t="inlineStr">
        <is>
          <t>https://www.nationalbanken.dk/da/viden-og-nyheder/presse/arkiv/2026/danskerne-betaler-mere-digitalt-det-goer-offline-betalinger-endnu-vigtigere-som-beredskab-26-06-2026</t>
        </is>
      </c>
      <c r="F3" s="15" t="inlineStr">
        <is>
          <t>2026-09-12</t>
        </is>
      </c>
      <c r="G3" s="15" t="inlineStr">
        <is>
          <t>Danmarks Nationalbank 2026, Danskerne betaler mere digitalt – det gør offline-betalinger endnu vigtigere som beredskab, press release, 26 June, Danmarks Nationalbank, Copenhagen, accessed 12 September 2026.</t>
        </is>
      </c>
    </row>
    <row r="4" ht="46" customHeight="1">
      <c r="A4" s="23" t="inlineStr">
        <is>
          <t>FD1</t>
        </is>
      </c>
      <c r="B4" s="15" t="inlineStr">
        <is>
          <t>Finans Danmark</t>
        </is>
      </c>
      <c r="C4" s="15" t="inlineStr">
        <is>
          <t>Institutter, filialer &amp; ansatte</t>
        </is>
      </c>
      <c r="D4" s="15" t="inlineStr"/>
      <c r="E4" s="15" t="inlineStr">
        <is>
          <t>https://finansdanmark.dk/tal-og-data/institutter-filialer-ansatte/</t>
        </is>
      </c>
      <c r="F4" s="15" t="inlineStr">
        <is>
          <t>2026-09-12</t>
        </is>
      </c>
      <c r="G4" s="15" t="inlineStr">
        <is>
          <t>Finans Danmark 2025, Institutter, filialer &amp; ansatte, Finans Danmark, Copenhagen, accessed 12 September 2026, &lt;https://finansdanmark.dk/tal-og-data/institutter-filialer-ansatte/&gt;.</t>
        </is>
      </c>
    </row>
    <row r="5" ht="46" customHeight="1">
      <c r="A5" s="23" t="inlineStr">
        <is>
          <t>ES1</t>
        </is>
      </c>
      <c r="B5" s="15" t="inlineStr">
        <is>
          <t>Eurostat</t>
        </is>
      </c>
      <c r="C5" s="15" t="inlineStr">
        <is>
          <t>E-commerce statistics for individuals (Statistics Explained)</t>
        </is>
      </c>
      <c r="D5" s="15" t="inlineStr">
        <is>
          <t>isoc_ec_ib20 / isoc_ec_ibuy</t>
        </is>
      </c>
      <c r="E5" s="15" t="inlineStr">
        <is>
          <t>https://ec.europa.eu/eurostat/statistics-explained/index.php?title=E-commerce_statistics_for_individuals</t>
        </is>
      </c>
      <c r="F5" s="15" t="inlineStr">
        <is>
          <t>2026-09-12</t>
        </is>
      </c>
      <c r="G5" s="15" t="inlineStr">
        <is>
          <t>Eurostat 2025, E-commerce statistics for individuals, Statistics Explained, European Commission, Luxembourg, accessed 12 September 2026.</t>
        </is>
      </c>
    </row>
    <row r="6" ht="46" customHeight="1">
      <c r="A6" s="23" t="inlineStr">
        <is>
          <t>ES2</t>
        </is>
      </c>
      <c r="B6" s="15" t="inlineStr">
        <is>
          <t>Eurostat</t>
        </is>
      </c>
      <c r="C6" s="15" t="inlineStr">
        <is>
          <t>Online shopping ever more popular in 2020 (ddn-20210217-1)</t>
        </is>
      </c>
      <c r="D6" s="15" t="inlineStr">
        <is>
          <t>isoc_ec_ib20</t>
        </is>
      </c>
      <c r="E6" s="15" t="inlineStr">
        <is>
          <t>https://ec.europa.eu/eurostat/web/products-eurostat-news/-/ddn-20210217-1</t>
        </is>
      </c>
      <c r="F6" s="15" t="inlineStr">
        <is>
          <t>2026-09-12</t>
        </is>
      </c>
      <c r="G6" s="15" t="inlineStr">
        <is>
          <t>Eurostat 2021, Online shopping ever more popular in 2020, European Commission, Luxembourg, accessed 12 September 2026.</t>
        </is>
      </c>
    </row>
    <row r="7" ht="46" customHeight="1">
      <c r="A7" s="23" t="inlineStr">
        <is>
          <t>ES3</t>
        </is>
      </c>
      <c r="B7" s="15" t="inlineStr">
        <is>
          <t>Eurostat</t>
        </is>
      </c>
      <c r="C7" s="15" t="inlineStr">
        <is>
          <t>Online shopping ever more popular (ddn-20220202-1)</t>
        </is>
      </c>
      <c r="D7" s="15" t="inlineStr">
        <is>
          <t>isoc_ec_ib20</t>
        </is>
      </c>
      <c r="E7" s="15" t="inlineStr">
        <is>
          <t>https://ec.europa.eu/eurostat/web/products-eurostat-news/-/ddn-20220202-1</t>
        </is>
      </c>
      <c r="F7" s="15" t="inlineStr">
        <is>
          <t>2026-09-12</t>
        </is>
      </c>
      <c r="G7" s="15" t="inlineStr">
        <is>
          <t>Eurostat 2022, Online shopping ever more popular, European Commission, Luxembourg, accessed 12 September 2026.</t>
        </is>
      </c>
    </row>
    <row r="8" ht="46" customHeight="1">
      <c r="A8" s="23" t="inlineStr">
        <is>
          <t>ES4</t>
        </is>
      </c>
      <c r="B8" s="15" t="inlineStr">
        <is>
          <t>Eurostat</t>
        </is>
      </c>
      <c r="C8" s="15" t="inlineStr">
        <is>
          <t>E-commerce statistics for individuals, 2024 reference year (ddn-20250220-3)</t>
        </is>
      </c>
      <c r="D8" s="15" t="inlineStr">
        <is>
          <t>isoc_ec_ib20</t>
        </is>
      </c>
      <c r="E8" s="15" t="inlineStr">
        <is>
          <t>https://ec.europa.eu/eurostat/web/products-eurostat-news/w/ddn-20250220-3</t>
        </is>
      </c>
      <c r="F8" s="15" t="inlineStr">
        <is>
          <t>2026-09-12</t>
        </is>
      </c>
      <c r="G8" s="15" t="inlineStr">
        <is>
          <t>Eurostat 2025, E-commerce statistics for individuals, European Commission, Luxembourg, accessed 12 September 2026.</t>
        </is>
      </c>
    </row>
    <row r="9" ht="46" customHeight="1">
      <c r="A9" s="23" t="inlineStr">
        <is>
          <t>ES5</t>
        </is>
      </c>
      <c r="B9" s="15" t="inlineStr">
        <is>
          <t>Eurostat</t>
        </is>
      </c>
      <c r="C9" s="15" t="inlineStr">
        <is>
          <t>EU enterprises' online sales reach new heights in 2023 (ddn-20250227-2)</t>
        </is>
      </c>
      <c r="D9" s="15" t="inlineStr">
        <is>
          <t>isoc_ec_evaln2 / tin00110</t>
        </is>
      </c>
      <c r="E9" s="15" t="inlineStr">
        <is>
          <t>https://ec.europa.eu/eurostat/web/products-eurostat-news/w/ddn-20250227-2</t>
        </is>
      </c>
      <c r="F9" s="15" t="inlineStr">
        <is>
          <t>2026-09-12</t>
        </is>
      </c>
      <c r="G9" s="15" t="inlineStr">
        <is>
          <t>Eurostat 2025, EU enterprises' online sales reach new heights, European Commission, Luxembourg, accessed 12 September 2026.</t>
        </is>
      </c>
    </row>
    <row r="10" ht="46" customHeight="1">
      <c r="A10" s="23" t="inlineStr">
        <is>
          <t>ES6</t>
        </is>
      </c>
      <c r="B10" s="15" t="inlineStr">
        <is>
          <t>Eurostat</t>
        </is>
      </c>
      <c r="C10" s="15" t="inlineStr">
        <is>
          <t>Share of enterprises' turnover on e-commerce, by country (country-level values retrieved via search of the Eurostat indicator)</t>
        </is>
      </c>
      <c r="D10" s="15" t="inlineStr">
        <is>
          <t>tin00110</t>
        </is>
      </c>
      <c r="E10" s="15" t="inlineStr">
        <is>
          <t>https://ec.europa.eu/eurostat/databrowser/view/tin00110/default/table?lang=en</t>
        </is>
      </c>
      <c r="F10" s="15" t="inlineStr">
        <is>
          <t>2026-09-12</t>
        </is>
      </c>
      <c r="G10" s="15" t="inlineStr">
        <is>
          <t>Eurostat 2025, Share of enterprises' turnover on e-commerce (tin00110), European Commission, Luxembourg, accessed 12 September 2026.</t>
        </is>
      </c>
    </row>
    <row r="11" ht="46" customHeight="1">
      <c r="A11" s="23" t="inlineStr">
        <is>
          <t>EC1</t>
        </is>
      </c>
      <c r="B11" s="15" t="inlineStr">
        <is>
          <t>European Commission</t>
        </is>
      </c>
      <c r="C11" s="15" t="inlineStr">
        <is>
          <t>Digital Decade 2026 country report: Denmark, SWD(2026) 155 final, Part 7/27, 17 June 2026</t>
        </is>
      </c>
      <c r="D11" s="15" t="inlineStr">
        <is>
          <t>DESI 2026</t>
        </is>
      </c>
      <c r="E11" s="15" t="inlineStr">
        <is>
          <t>https://digital-strategy.ec.europa.eu/en/policies/desi</t>
        </is>
      </c>
      <c r="F11" s="15" t="inlineStr">
        <is>
          <t>2026-09-12</t>
        </is>
      </c>
      <c r="G11" s="15" t="inlineStr">
        <is>
          <t>European Commission 2026, Digital Decade 2026 country report: Denmark, SWD(2026) 155 final, Part 7/27, European Commission, Brussels.</t>
        </is>
      </c>
    </row>
    <row r="12" ht="46" customHeight="1">
      <c r="A12" s="23" t="inlineStr">
        <is>
          <t>DG1</t>
        </is>
      </c>
      <c r="B12" s="15" t="inlineStr">
        <is>
          <t>Digitaliseringsstyrelsen (Danish Agency for Digital Government)</t>
        </is>
      </c>
      <c r="C12" s="15" t="inlineStr">
        <is>
          <t>Statistik om Digital Post</t>
        </is>
      </c>
      <c r="D12" s="15" t="inlineStr"/>
      <c r="E12" s="15" t="inlineStr">
        <is>
          <t>https://digst.dk/tal-og-statistik/</t>
        </is>
      </c>
      <c r="F12" s="15" t="inlineStr">
        <is>
          <t>2026-09-12</t>
        </is>
      </c>
      <c r="G12" s="15" t="inlineStr">
        <is>
          <t>Digitaliseringsstyrelsen 2026, Statistik om Digital Post, Agency for Digital Government, Copenhagen, accessed 12 September 2026.</t>
        </is>
      </c>
    </row>
    <row r="13" ht="46" customHeight="1">
      <c r="A13" s="23" t="inlineStr">
        <is>
          <t>DG2</t>
        </is>
      </c>
      <c r="B13" s="15" t="inlineStr">
        <is>
          <t>Digitaliseringsstyrelsen (Danish Agency for Digital Government)</t>
        </is>
      </c>
      <c r="C13" s="15" t="inlineStr">
        <is>
          <t>Hvem oplever udfordringer ved det digitale?</t>
        </is>
      </c>
      <c r="D13" s="15" t="inlineStr"/>
      <c r="E13" s="15" t="inlineStr">
        <is>
          <t>https://digst.dk/digital-inklusion/viden-om-digital-inklusion/hvem-oplever-udfordringer-ved-det-digitale/</t>
        </is>
      </c>
      <c r="F13" s="15" t="inlineStr">
        <is>
          <t>2026-09-12</t>
        </is>
      </c>
      <c r="G13" s="15" t="inlineStr">
        <is>
          <t>Digitaliseringsstyrelsen 2025, Hvem oplever udfordringer ved det digitale?, Agency for Digital Government, Copenhagen, accessed 12 September 2026.</t>
        </is>
      </c>
    </row>
    <row r="14" ht="46" customHeight="1">
      <c r="A14" s="23" t="inlineStr">
        <is>
          <t>DG3</t>
        </is>
      </c>
      <c r="B14" s="15" t="inlineStr">
        <is>
          <t>Digitaliseringsstyrelsen / Danmarks Statistik</t>
        </is>
      </c>
      <c r="C14" s="15" t="inlineStr">
        <is>
          <t>Effektmåling af SMV:Digital, June 2025</t>
        </is>
      </c>
      <c r="D14" s="15" t="inlineStr"/>
      <c r="E14" s="15" t="inlineStr">
        <is>
          <t>https://digst.dk/media/yz2ouzzz/effektmaaling-af-smvdigital-2025.pdf</t>
        </is>
      </c>
      <c r="F14" s="15" t="inlineStr">
        <is>
          <t>2026-09-12</t>
        </is>
      </c>
      <c r="G14" s="15" t="inlineStr">
        <is>
          <t>Digitaliseringsstyrelsen 2025, Effektmåling af SMV:Digital, prepared by Danmarks Statistik, Agency for Digital Government, Copenhagen, accessed 12 September 2026.</t>
        </is>
      </c>
    </row>
    <row r="15" ht="46" customHeight="1">
      <c r="A15" s="23" t="inlineStr">
        <is>
          <t>JU1</t>
        </is>
      </c>
      <c r="B15" s="15" t="inlineStr">
        <is>
          <t>Justitia (independent Danish legal think tank)</t>
        </is>
      </c>
      <c r="C15" s="15" t="inlineStr">
        <is>
          <t>Retssikkerhed for digitalt udsatte borgere, July 2022</t>
        </is>
      </c>
      <c r="D15" s="15" t="inlineStr">
        <is>
          <t>Folketinget DIU Alm.del bilag 32</t>
        </is>
      </c>
      <c r="E15" s="15" t="inlineStr">
        <is>
          <t>https://justitia-int.org/wp-content/uploads/2022/09/Rapport_Retssikkerhed-for-digitalt-udsatte-borgere-1.pdf</t>
        </is>
      </c>
      <c r="F15" s="15" t="inlineStr">
        <is>
          <t>2026-09-12</t>
        </is>
      </c>
      <c r="G15" s="15" t="inlineStr">
        <is>
          <t>Justitia 2022, Retssikkerhed for digitalt udsatte borgere, Justitia, Copenhagen, accessed 12 September 2026.</t>
        </is>
      </c>
    </row>
    <row r="16" ht="46" customHeight="1">
      <c r="A16" s="23" t="inlineStr">
        <is>
          <t>IMR1</t>
        </is>
      </c>
      <c r="B16" s="15" t="inlineStr">
        <is>
          <t>Institut for Menneskerettigheder (Danish Institute for Human Rights)</t>
        </is>
      </c>
      <c r="C16" s="15" t="inlineStr">
        <is>
          <t>[REFERENCE ONLY - supports argument in the report; no workbook value depends on it] Rettigheder i den digitale velfærdsstat, December 2023</t>
        </is>
      </c>
      <c r="D16" s="15" t="inlineStr"/>
      <c r="E16" s="15" t="inlineStr">
        <is>
          <t>https://menneskeret.dk/sites/menneskeret.dk/files/media/document/Rettigheder%20i%20den%20digitale%20velf%C3%A6rdsstat.%20Analyse,%20Institut%20for%20Menneskerettigheder,%20december%202023.PDF</t>
        </is>
      </c>
      <c r="F16" s="15" t="inlineStr">
        <is>
          <t>2026-09-12</t>
        </is>
      </c>
      <c r="G16" s="15" t="inlineStr">
        <is>
          <t>Institut for Menneskerettigheder 2023, Rettigheder i den digitale velfaerdsstat, Danish Institute for Human Rights, Copenhagen, accessed 12 September 2026.</t>
        </is>
      </c>
    </row>
    <row r="17" ht="46" customHeight="1">
      <c r="A17" s="23" t="inlineStr">
        <is>
          <t>RI1</t>
        </is>
      </c>
      <c r="B17" s="15" t="inlineStr">
        <is>
          <t>Retsinformation (Danish official legal information portal)</t>
        </is>
      </c>
      <c r="C17" s="15" t="inlineStr">
        <is>
          <t>Lov om Offentlig Digital Post, LOV nr 528 af 11/06/2012</t>
        </is>
      </c>
      <c r="D17" s="15" t="inlineStr">
        <is>
          <t>ELI: lta/2012/528</t>
        </is>
      </c>
      <c r="E17" s="15" t="inlineStr">
        <is>
          <t>https://www.retsinformation.dk/eli/lta/2012/528</t>
        </is>
      </c>
      <c r="F17" s="15" t="inlineStr">
        <is>
          <t>2026-09-12</t>
        </is>
      </c>
      <c r="G17" s="15" t="inlineStr">
        <is>
          <t>Denmark 2012, Lov om Offentlig Digital Post (LOV nr 528 af 11/06/2012), Retsinformation, Copenhagen, accessed 12 September 2026.</t>
        </is>
      </c>
    </row>
    <row r="18" ht="46" customHeight="1">
      <c r="A18" s="23" t="inlineStr">
        <is>
          <t>RR1</t>
        </is>
      </c>
      <c r="B18" s="15" t="inlineStr">
        <is>
          <t>Rigsrevisionen (Danish National Audit Office)</t>
        </is>
      </c>
      <c r="C18" s="15" t="inlineStr">
        <is>
          <t>Beretning om besparelsespotentialet ved obligatorisk Digital Post på ca. 1 mia. kr. om året, January 2016</t>
        </is>
      </c>
      <c r="D18" s="15" t="inlineStr"/>
      <c r="E18" s="15" t="inlineStr">
        <is>
          <t>https://www.rigsrevisionen.dk/revisionssager-arkiv/2016/jan/beretning-om-besparelsespotentialet-ved-obligatorisk-digital-post-paa-ca-1-mia-kr-om-aaret</t>
        </is>
      </c>
      <c r="F18" s="15" t="inlineStr">
        <is>
          <t>2026-09-12</t>
        </is>
      </c>
      <c r="G18" s="15" t="inlineStr">
        <is>
          <t>Rigsrevisionen 2016, Beretning om besparelsespotentialet ved obligatorisk Digital Post på ca. 1 mia. kr. om året, National Audit Office of Denmark, Copenhagen, accessed 12 September 2026.</t>
        </is>
      </c>
    </row>
    <row r="19" ht="46" customHeight="1">
      <c r="A19" s="23" t="inlineStr">
        <is>
          <t>RI2</t>
        </is>
      </c>
      <c r="B19" s="15" t="inlineStr">
        <is>
          <t>Finanstilsynet (Danish Financial Supervisory Authority)</t>
        </is>
      </c>
      <c r="C19" s="15" t="inlineStr">
        <is>
          <t>Kontantreglen – lov om betalinger § 81</t>
        </is>
      </c>
      <c r="D19" s="15" t="inlineStr">
        <is>
          <t>Lov om betalinger, § 81</t>
        </is>
      </c>
      <c r="E19" s="15" t="inlineStr">
        <is>
          <t>https://www.finanstilsynet.dk/finansielle-temaer/betalingstjenester-og-e-penge/kontantreglen</t>
        </is>
      </c>
      <c r="F19" s="15" t="inlineStr">
        <is>
          <t>2026-09-12</t>
        </is>
      </c>
      <c r="G19" s="15" t="inlineStr">
        <is>
          <t>Finanstilsynet 2025, Kontantreglen, Danish Financial Supervisory Authority, Copenhagen, accessed 12 September 2026.</t>
        </is>
      </c>
    </row>
    <row r="20" ht="46" customHeight="1">
      <c r="A20" s="23" t="inlineStr">
        <is>
          <t>DG4</t>
        </is>
      </c>
      <c r="B20" s="15" t="inlineStr">
        <is>
          <t>Digitaliseringsstyrelsen (Danish Agency for Digital Government)</t>
        </is>
      </c>
      <c r="C20" s="15" t="inlineStr">
        <is>
          <t>Digital Post – lovgivning, and the MitID transition news archive</t>
        </is>
      </c>
      <c r="D20" s="15" t="inlineStr"/>
      <c r="E20" s="15" t="inlineStr">
        <is>
          <t>https://digst.dk/it-loesninger/digital-post/lovgivning/</t>
        </is>
      </c>
      <c r="F20" s="15" t="inlineStr">
        <is>
          <t>2026-09-12</t>
        </is>
      </c>
      <c r="G20" s="15" t="inlineStr">
        <is>
          <t>Digitaliseringsstyrelsen 2025, Digital Post – lovgivning, Agency for Digital Government, Copenhagen, accessed 12 September 2026.</t>
        </is>
      </c>
    </row>
    <row r="21" ht="46" customHeight="1">
      <c r="A21" s="23" t="inlineStr">
        <is>
          <t>SMV1</t>
        </is>
      </c>
      <c r="B21" s="15" t="inlineStr">
        <is>
          <t>SMV:Digital (Danish SME digitalisation grant scheme)</t>
        </is>
      </c>
      <c r="C21" s="15" t="inlineStr">
        <is>
          <t>Tilskudspuljer i 2026</t>
        </is>
      </c>
      <c r="D21" s="15" t="inlineStr"/>
      <c r="E21" s="15" t="inlineStr">
        <is>
          <t>https://smvdigital.dk/content/ydelser/tilskudspuljer-i-2026/8efa07f4-5032-47f4-b7fa-bab57412b762/</t>
        </is>
      </c>
      <c r="F21" s="15" t="inlineStr">
        <is>
          <t>2026-09-12</t>
        </is>
      </c>
      <c r="G21" s="15" t="inlineStr">
        <is>
          <t>SMV:Digital 2026, Tilskudspuljer i 2026, SMV:Digital, Copenhagen, accessed 12 September 2026.</t>
        </is>
      </c>
    </row>
    <row r="22" ht="46" customHeight="1">
      <c r="A22" s="23" t="inlineStr">
        <is>
          <t>DST2</t>
        </is>
      </c>
      <c r="B22" s="15" t="inlineStr">
        <is>
          <t>Danmarks Statistik</t>
        </is>
      </c>
      <c r="C22" s="15" t="inlineStr">
        <is>
          <t>Befolkningstal (population figures)</t>
        </is>
      </c>
      <c r="D22" s="15" t="inlineStr">
        <is>
          <t>StatBank FOLK1A</t>
        </is>
      </c>
      <c r="E22" s="15" t="inlineStr">
        <is>
          <t>https://www.dst.dk/da/Statistik/emner/borgere/befolkning/befolkningstal</t>
        </is>
      </c>
      <c r="F22" s="15" t="inlineStr">
        <is>
          <t>2026-09-12</t>
        </is>
      </c>
      <c r="G22" s="15" t="inlineStr">
        <is>
          <t>Danmarks Statistik 2026, Befolkningstal, Statistics Denmark, Copenhagen, accessed 12 September 2026.</t>
        </is>
      </c>
    </row>
    <row r="23" ht="46" customHeight="1">
      <c r="A23" s="23" t="inlineStr">
        <is>
          <t>ES7</t>
        </is>
      </c>
      <c r="B23" s="15" t="inlineStr">
        <is>
          <t>Eurostat</t>
        </is>
      </c>
      <c r="C23" s="15" t="inlineStr">
        <is>
          <t>Internet purchases by individuals (2020 onwards) - custom extraction, all individuals, last online purchase in the 12 months, percentage of individuals who used internet within the last year, 2024</t>
        </is>
      </c>
      <c r="D23" s="15" t="inlineStr">
        <is>
          <t>isoc_ec_ib20</t>
        </is>
      </c>
      <c r="E23" s="15" t="inlineStr">
        <is>
          <t>https://ec.europa.eu/eurostat/databrowser/view/isoc_ec_ib20/default/table?lang=en</t>
        </is>
      </c>
      <c r="F23" s="15" t="inlineStr">
        <is>
          <t>2026-09-12</t>
        </is>
      </c>
      <c r="G23"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4" ht="46" customHeight="1">
      <c r="A24" s="23" t="inlineStr">
        <is>
          <t>DST1</t>
        </is>
      </c>
      <c r="B24" s="15" t="inlineStr">
        <is>
          <t>Danmarks Statistik</t>
        </is>
      </c>
      <c r="C24" s="15" t="inlineStr">
        <is>
          <t>Detailomsætningsindeks (retail trade turnover index)</t>
        </is>
      </c>
      <c r="D24" s="15" t="inlineStr">
        <is>
          <t>StatBank; base year rebased 2015 -&gt; 2021</t>
        </is>
      </c>
      <c r="E24" s="15" t="inlineStr">
        <is>
          <t>https://www.dst.dk/da/Statistik/dokumentation/statistikdokumentation/detailomsaetningsindeks</t>
        </is>
      </c>
      <c r="F24" s="15" t="inlineStr">
        <is>
          <t>2026-09-12</t>
        </is>
      </c>
      <c r="G24" s="15" t="inlineStr">
        <is>
          <t>Danmarks Statistik 2025, Detailomsætningsindeks, Statistics Denmark, Copenhagen, accessed 12 September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DK.PAY.CASH.POS</t>
        </is>
      </c>
      <c r="B3" s="15" t="inlineStr">
        <is>
          <t>Cash as a share of the NUMBER of payments made at physical points of sale.</t>
        </is>
      </c>
      <c r="C3" s="15" t="inlineStr">
        <is>
          <t>Not a share of value. Excludes e-commerce entirely.</t>
        </is>
      </c>
    </row>
    <row r="4" ht="44" customHeight="1">
      <c r="A4" s="25" t="inlineStr">
        <is>
          <t>DK.PAY.CRD.PHYS</t>
        </is>
      </c>
      <c r="B4" s="15" t="inlineStr">
        <is>
          <t>Physical payment cards as a share of the number of in-store payments.</t>
        </is>
      </c>
      <c r="C4" s="15" t="inlineStr">
        <is>
          <t>Falls partly because wallets replace the physical card, not because card payment declines.</t>
        </is>
      </c>
    </row>
    <row r="5" ht="44" customHeight="1">
      <c r="A5" s="25" t="inlineStr">
        <is>
          <t>DK.PAY.WLT.SHR</t>
        </is>
      </c>
      <c r="B5" s="15" t="inlineStr">
        <is>
          <t>Card-based mobile wallets as a share of the number of in-store payments.</t>
        </is>
      </c>
      <c r="C5" s="15" t="inlineStr">
        <is>
          <t>Wallet payments are card payments. Do not add to the card share.</t>
        </is>
      </c>
    </row>
    <row r="6" ht="44" customHeight="1">
      <c r="A6" s="25" t="inlineStr">
        <is>
          <t>DK.PAY.WLT.OWN</t>
        </is>
      </c>
      <c r="B6" s="15" t="inlineStr">
        <is>
          <t>Share of CITIZENS with a wallet solution on their phone.</t>
        </is>
      </c>
      <c r="C6" s="15" t="inlineStr">
        <is>
          <t>Different denominator from the payment-share series. Memo only - deliberately excluded from Figure 2.</t>
        </is>
      </c>
    </row>
    <row r="7" ht="44" customHeight="1">
      <c r="A7" s="25" t="inlineStr">
        <is>
          <t>DK.FIN.BRCH</t>
        </is>
      </c>
      <c r="B7" s="15" t="inlineStr">
        <is>
          <t>Number of retail bank branches operated by Danish credit institutions.</t>
        </is>
      </c>
      <c r="C7" s="15" t="inlineStr">
        <is>
          <t>Consolidation and digitalisation both reduce this. The series alone cannot separate the two causes.</t>
        </is>
      </c>
    </row>
    <row r="8" ht="44" customHeight="1">
      <c r="A8" s="25" t="inlineStr">
        <is>
          <t>DK.ECM.IND.BUY</t>
        </is>
      </c>
      <c r="B8" s="15" t="inlineStr">
        <is>
          <t>Individuals who purchased goods or services online in the last 12 months.</t>
        </is>
      </c>
      <c r="C8" s="15" t="inlineStr">
        <is>
          <t>DENOMINATOR BREAK at 2020: % of individuals before, % of internet users after. Never plot 2019 with later years.</t>
        </is>
      </c>
    </row>
    <row r="9" ht="44" customHeight="1">
      <c r="A9" s="25" t="inlineStr">
        <is>
          <t>DK.ECM.ENT.TRN</t>
        </is>
      </c>
      <c r="B9" s="15" t="inlineStr">
        <is>
          <t>E-commerce sales as a share of total enterprise turnover.</t>
        </is>
      </c>
      <c r="C9" s="15" t="inlineStr">
        <is>
          <t>Measures INTENSITY of online selling, not how many firms sell online. Pair with DK.ECM.ENT.SHR.</t>
        </is>
      </c>
    </row>
    <row r="10" ht="44" customHeight="1">
      <c r="A10" s="25" t="inlineStr">
        <is>
          <t>DK.ECM.ENT.SHR</t>
        </is>
      </c>
      <c r="B10" s="15" t="inlineStr">
        <is>
          <t>Share of enterprises making any e-sales.</t>
        </is>
      </c>
      <c r="C10" s="15" t="inlineStr">
        <is>
          <t>Measures BREADTH of adoption. Flat breadth with rising intensity means incumbents deepening, not new entrants.</t>
        </is>
      </c>
    </row>
    <row r="11" ht="44" customHeight="1">
      <c r="A11" s="25" t="inlineStr">
        <is>
          <t>DK.DGP.EXMP</t>
        </is>
      </c>
      <c r="B11" s="15" t="inlineStr">
        <is>
          <t>Citizens formally exempt from mandatory Digital Post under the statutory exemption regime.</t>
        </is>
      </c>
      <c r="C11" s="15" t="inlineStr">
        <is>
          <t>An administrative status, not a measure of capability. A citizen may struggle without being exempt.</t>
        </is>
      </c>
    </row>
    <row r="12" ht="44" customHeight="1">
      <c r="A12" s="25" t="inlineStr">
        <is>
          <t>DK.DGX.DIFF</t>
        </is>
      </c>
      <c r="B12" s="15" t="inlineStr">
        <is>
          <t>Population estimated to face difficulties using digital public services.</t>
        </is>
      </c>
      <c r="C12" s="15" t="inlineStr">
        <is>
          <t>A capability estimate, not an administrative count. Much larger than the exemption rate - that gap is the analytical point.</t>
        </is>
      </c>
    </row>
    <row r="13" ht="44" customHeight="1">
      <c r="A13" s="25" t="inlineStr">
        <is>
          <t>DK.DGX.JUST</t>
        </is>
      </c>
      <c r="B13" s="15" t="inlineStr">
        <is>
          <t>Justitia's estimate of the digitally disadvantaged adult population.</t>
        </is>
      </c>
      <c r="C13" s="15" t="inlineStr">
        <is>
          <t>Think-tank estimate, broadest definition of the five. Cite as an upper bound, not as an official statistic.</t>
        </is>
      </c>
    </row>
    <row r="14" ht="44" customHeight="1">
      <c r="A14" s="25" t="inlineStr">
        <is>
          <t>DK.GOV.DPS.CIT</t>
        </is>
      </c>
      <c r="B14" s="15" t="inlineStr">
        <is>
          <t>eGovernment Benchmark composite score for citizen-facing digital public services.</t>
        </is>
      </c>
      <c r="C14" s="15" t="inlineStr">
        <is>
          <t>A composite index, not a usage rate. Denmark scores BELOW the EU average despite near-universal mandated use.</t>
        </is>
      </c>
    </row>
    <row r="15" ht="44" customHeight="1">
      <c r="A15" s="25" t="inlineStr">
        <is>
          <t>DK.ENV.WEEE</t>
        </is>
      </c>
      <c r="B15" s="15" t="inlineStr">
        <is>
          <t>Share of collected ICT-related electrical waste recycled or prepared for reuse.</t>
        </is>
      </c>
      <c r="C15" s="15" t="inlineStr">
        <is>
          <t>Covers two WEEE categories only. Denominator is waste COLLECTED, not waste generated.</t>
        </is>
      </c>
    </row>
    <row r="16" ht="44" customHeight="1">
      <c r="A16" s="25" t="inlineStr">
        <is>
          <t>DK.PAY.DIG.POS.NUM, DK.PAY.DIG.POS.VAL</t>
        </is>
      </c>
      <c r="B16" s="15" t="inlineStr">
        <is>
          <t>Digital share of physical-retail payments, by NUMBER and by VALUE respectively.</t>
        </is>
      </c>
      <c r="C16" s="15" t="inlineStr">
        <is>
          <t>Two different denominators. The value share exceeds the number share because cash survives in small transactions. Never quote one as the other, and never average them.</t>
        </is>
      </c>
    </row>
    <row r="17" ht="44" customHeight="1">
      <c r="A17" s="25" t="inlineStr">
        <is>
          <t>DK.FIN.INST</t>
        </is>
      </c>
      <c r="B17" s="15" t="inlineStr">
        <is>
          <t>Number of financial institutions (credit institutions) operating in Denmark.</t>
        </is>
      </c>
      <c r="C17" s="15" t="inlineStr">
        <is>
          <t>Base year 1991. Do NOT difference against DK.FIN.BRCH, which starts in 2004 - see F9_CONSOLIDATION.</t>
        </is>
      </c>
    </row>
    <row r="18" ht="44" customHeight="1">
      <c r="A18" s="25" t="inlineStr">
        <is>
          <t>DK.FIN.EMP</t>
        </is>
      </c>
      <c r="B18" s="15" t="inlineStr">
        <is>
          <t>Number of persons employed by Danish banks.</t>
        </is>
      </c>
      <c r="C18" s="15" t="inlineStr">
        <is>
          <t>Base year 1991, so comparable with DK.FIN.INST but NOT with the branch series. Falls far less than institutions - that asymmetry is the finding in F9_CONSOLIDATION, not a data error.</t>
        </is>
      </c>
    </row>
    <row r="19" ht="44" customHeight="1">
      <c r="A19" s="25" t="inlineStr">
        <is>
          <t>DK.SKL.1624, DK.SKL.2554, DK.SKL.5574
(EU.SKL.1624, EU.SKL.2554, EU.SKL.5574)</t>
        </is>
      </c>
      <c r="B19" s="15" t="inlineStr">
        <is>
          <t>Individuals with at least basic overall digital skills, by age band. EU.SKL.* are the matching EU-27 comparators.</t>
        </is>
      </c>
      <c r="C19" s="15" t="inlineStr">
        <is>
          <t>Age bands, not a time series - all three are the same reference year. The DIGCOMP methodology was revised in 2021; do not join to pre-2021 skills figures.</t>
        </is>
      </c>
    </row>
    <row r="20" ht="44" customHeight="1">
      <c r="A20" s="25" t="inlineStr">
        <is>
          <t>DK.DGP.EXMP.N</t>
        </is>
      </c>
      <c r="B20" s="15" t="inlineStr">
        <is>
          <t>Citizens formally exempt from Digital Post, as a HEADCOUNT.</t>
        </is>
      </c>
      <c r="C20" s="15" t="inlineStr">
        <is>
          <t>A count, not a rate. Converting between this and DK.DGP.EXMP requires DK.POP.TOT and an assumption about the 15+ denominator - see 07_LIMITATIONS.</t>
        </is>
      </c>
    </row>
    <row r="21" ht="44" customHeight="1">
      <c r="A21" s="25" t="inlineStr">
        <is>
          <t>DK.DGP.EXMP.7584, DK.DGP.EXMP.85P</t>
        </is>
      </c>
      <c r="B21" s="15" t="inlineStr">
        <is>
          <t>Digital Post exemption rate within the 75-84 and 85+ age bands.</t>
        </is>
      </c>
      <c r="C21" s="15" t="inlineStr">
        <is>
          <t>Denominator is the age group, not the population. These are far above the headline 4.7% and must not be compared with it directly.</t>
        </is>
      </c>
    </row>
    <row r="22" ht="44" customHeight="1">
      <c r="A22" s="25" t="inlineStr">
        <is>
          <t>DK.DGX.NOUSE</t>
        </is>
      </c>
      <c r="B22" s="15" t="inlineStr">
        <is>
          <t>Individuals who do not use digital public services at all.</t>
        </is>
      </c>
      <c r="C22" s="15" t="inlineStr">
        <is>
          <t>Non-use, not inability. Includes those with no need to transact as well as those unable to.</t>
        </is>
      </c>
    </row>
    <row r="23" ht="44" customHeight="1">
      <c r="A23" s="25" t="inlineStr">
        <is>
          <t>DK.DGX.DISADV.LO, DK.DGX.DISADV.HI</t>
        </is>
      </c>
      <c r="B23" s="15" t="inlineStr">
        <is>
          <t>Lower and upper bound of the 'digitally disadvantaged' adult population.</t>
        </is>
      </c>
      <c r="C23" s="15" t="inlineStr">
        <is>
          <t>A RANGE published as a range. Quote both bounds; citing either alone misrepresents the source's own uncertainty.</t>
        </is>
      </c>
    </row>
    <row r="24" ht="44" customHeight="1">
      <c r="A24" s="25" t="inlineStr">
        <is>
          <t>DK.POP.TOT</t>
        </is>
      </c>
      <c r="B24" s="15" t="inlineStr">
        <is>
          <t>Resident population of Denmark.</t>
        </is>
      </c>
      <c r="C24" s="15" t="inlineStr">
        <is>
          <t>Used only as a denominator for converting headcounts to rates. Total residents, not the 15+ base the exemption rate actually uses.</t>
        </is>
      </c>
    </row>
    <row r="25" ht="44" customHeight="1">
      <c r="A25" s="25" t="inlineStr">
        <is>
          <t>DK.TRU.DPS</t>
        </is>
      </c>
      <c r="B25" s="15" t="inlineStr">
        <is>
          <t>Share of the population expressing trust in digital public solutions.</t>
        </is>
      </c>
      <c r="C25" s="15" t="inlineStr">
        <is>
          <t>Self-reported attitude, not behaviour. High trust coexists with the exclusion measures in F4 - the two are not in contradiction.</t>
        </is>
      </c>
    </row>
    <row r="26" ht="44" customHeight="1">
      <c r="A26" s="25" t="inlineStr">
        <is>
          <t>DK.TRU.DGP.SEC</t>
        </is>
      </c>
      <c r="B26" s="15" t="inlineStr">
        <is>
          <t>Share of the population perceiving Digital Post as secure.</t>
        </is>
      </c>
      <c r="C26" s="15" t="inlineStr">
        <is>
          <t>Narrower than DK.TRU.DPS: one service, not the whole system. Do not treat the two as one series.</t>
        </is>
      </c>
    </row>
    <row r="27" ht="44" customHeight="1">
      <c r="A27" s="25" t="inlineStr">
        <is>
          <t>DK.ENT.DII</t>
        </is>
      </c>
      <c r="B27" s="15" t="inlineStr">
        <is>
          <t>SMEs reaching at least basic digital intensity (DII).</t>
        </is>
      </c>
      <c r="C27" s="15" t="inlineStr">
        <is>
          <t>A composite threshold count of adopted technologies, not an intensity of use. A firm clears it by adopting breadth cheaply.</t>
        </is>
      </c>
    </row>
    <row r="28" ht="44" customHeight="1">
      <c r="A28" s="25" t="inlineStr">
        <is>
          <t>DK.ENT.AI, DK.ENT.AI.LRG, DK.ENT.AI.SME</t>
        </is>
      </c>
      <c r="B28" s="15" t="inlineStr">
        <is>
          <t>Enterprises adopting AI: all, large (250+) and SMEs (10-249).</t>
        </is>
      </c>
      <c r="C28" s="15" t="inlineStr">
        <is>
          <t>The headline rate is close to the SME rate because SMEs dominate by count. The large-firm gap is the real dispersion - report the split, not just the average.</t>
        </is>
      </c>
    </row>
    <row r="29" ht="44" customHeight="1">
      <c r="A29" s="25" t="inlineStr">
        <is>
          <t>DK.GOV.DPS.XB</t>
        </is>
      </c>
      <c r="B29" s="15" t="inlineStr">
        <is>
          <t>eGovernment Benchmark score for CROSS-BORDER citizen services.</t>
        </is>
      </c>
      <c r="C29" s="15" t="inlineStr">
        <is>
          <t>Scored against a different service basket from DK.GOV.DPS.CIT. Lower is not evidence of decline; it is a different test.</t>
        </is>
      </c>
    </row>
    <row r="30" ht="44" customHeight="1">
      <c r="A30" s="25" t="inlineStr">
        <is>
          <t>DK.GOV.DGP.SAVE.PLAN, DK.GOV.DGP.SAVE.VERIF</t>
        </is>
      </c>
      <c r="B30" s="15" t="inlineStr">
        <is>
          <t>Digital Post annual public saving: as projected, and as verifiable by audit.</t>
        </is>
      </c>
      <c r="C30" s="15" t="inlineStr">
        <is>
          <t>The pair exists to be compared - the verified figure is well under half the projection. Never cite the projection alone as a realised saving.</t>
        </is>
      </c>
    </row>
    <row r="31" ht="44" customHeight="1">
      <c r="A31" s="25" t="inlineStr">
        <is>
          <t>DK.SME.SMVD.PROJ, DK.SME.SMVD.INV, DK.SME.SMVD.NOINV</t>
        </is>
      </c>
      <c r="B31" s="15" t="inlineStr">
        <is>
          <t>SMV:Digital programme: projects supported, and participants who did or did not invest further.</t>
        </is>
      </c>
      <c r="C31"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Participation measures only. No effect size is plotted because none was verified.</t>
        </is>
      </c>
    </row>
    <row r="5">
      <c r="A5" s="27" t="inlineStr">
        <is>
          <t>Digitalisation projects supported since 2018</t>
        </is>
      </c>
      <c r="B5" s="28">
        <f>IF(COUNTIFS('02_MASTER'!$B:$B,"DK.SME.SMVD.PROJ",'02_MASTER'!$E:$E,2025)=0,"",SUMIFS('02_MASTER'!$F:$F,'02_MASTER'!$B:$B,"DK.SME.SMVD.PROJ",'02_MASTER'!$E:$E,2025))</f>
        <v/>
      </c>
      <c r="C5" s="29" t="inlineStr">
        <is>
          <t>count</t>
        </is>
      </c>
    </row>
    <row r="6">
      <c r="A6" s="27" t="inlineStr">
        <is>
          <t>Participants investing further during the project</t>
        </is>
      </c>
      <c r="B6" s="35">
        <f>IF(COUNTIFS('02_MASTER'!$B:$B,"DK.SME.SMVD.INV",'02_MASTER'!$E:$E,2025)=0,"",SUMIFS('02_MASTER'!$F:$F,'02_MASTER'!$B:$B,"DK.SME.SMVD.INV",'02_MASTER'!$E:$E,2025))</f>
        <v/>
      </c>
      <c r="C6" s="29" t="inlineStr">
        <is>
          <t>% of participants</t>
        </is>
      </c>
    </row>
    <row r="7">
      <c r="A7" s="27" t="inlineStr">
        <is>
          <t>Participants with no further investment plans</t>
        </is>
      </c>
      <c r="B7" s="35">
        <f>IF(COUNTIFS('02_MASTER'!$B:$B,"DK.SME.SMVD.NOINV",'02_MASTER'!$E:$E,2025)=0,"",SUMIFS('02_MASTER'!$F:$F,'02_MASTER'!$B:$B,"DK.SME.SMVD.NOINV",'02_MASTER'!$E:$E,2025))</f>
        <v/>
      </c>
      <c r="C7" s="29" t="inlineStr">
        <is>
          <t>% of participants</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s4040040</dc:creator>
  <dc:title>Denmark: Digital Adoption and Policy Outcomes</dc:title>
  <dc:description>Statistical annex, v1.0, built 2026-09-13. 113 verified observations.</dc:description>
  <dc:subject>ECON1596/ECON1597 Digital Economy and Policy</dc:subject>
  <dcterms:created xsi:type="dcterms:W3CDTF">2026-09-13T04:06:07Z</dcterms:created>
  <dcterms:modified xsi:type="dcterms:W3CDTF">2026-09-13T04:06:07Z</dcterms:modified>
</cp:coreProperties>
</file>